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Tab Guide" sheetId="2" r:id="rId6"/>
    <sheet state="visible" name="1. Executive Dashboard" sheetId="3" r:id="rId7"/>
    <sheet state="visible" name="2. Financial Summary" sheetId="4" r:id="rId8"/>
    <sheet state="visible" name="3. Assumptions and Drivers" sheetId="5" r:id="rId9"/>
    <sheet state="visible" name="4. Revenue and Volume " sheetId="6" r:id="rId10"/>
    <sheet state="visible" name="5. Payroll and Headcount" sheetId="7" r:id="rId11"/>
    <sheet state="visible" name="6. OpEx and CapEx" sheetId="8" r:id="rId12"/>
    <sheet state="visible" name="7. Debt and PP&amp;E" sheetId="9" r:id="rId13"/>
    <sheet state="visible" name="8. Financial Statements" sheetId="10" r:id="rId14"/>
    <sheet state="visible" name="9. Multi-Year Projection" sheetId="11" r:id="rId15"/>
    <sheet state="visible" name="10. Valuation and DCF Dashboard" sheetId="12" r:id="rId16"/>
    <sheet state="visible" name="11. Revenue Calculators" sheetId="13" r:id="rId17"/>
  </sheets>
  <definedNames/>
  <calcPr/>
</workbook>
</file>

<file path=xl/sharedStrings.xml><?xml version="1.0" encoding="utf-8"?>
<sst xmlns="http://schemas.openxmlformats.org/spreadsheetml/2006/main" count="1071" uniqueCount="526">
  <si>
    <t>Title</t>
  </si>
  <si>
    <t>Training Center Financial Model &amp; Valuation</t>
  </si>
  <si>
    <t>Description</t>
  </si>
  <si>
    <t xml:space="preserve">Financial model for an education based training center. Included driver-based operation model, 3-statement financials, 10-year prediction, and DCF valuation. </t>
  </si>
  <si>
    <t xml:space="preserve">Note: Training centers are competitive cash heavy brick-and-mortar businesses in APAC , each training center can yield $10 million+ in annual profit for per location.  </t>
  </si>
  <si>
    <t>Name</t>
  </si>
  <si>
    <t xml:space="preserve">Eric Medore </t>
  </si>
  <si>
    <t>Date</t>
  </si>
  <si>
    <t>Color-Key Legend</t>
  </si>
  <si>
    <t>Blue = Hard Code/Input</t>
  </si>
  <si>
    <t>Black = Formula</t>
  </si>
  <si>
    <t>Gray = Notes</t>
  </si>
  <si>
    <t xml:space="preserve">Disclaimer </t>
  </si>
  <si>
    <t>This document was created for a portfolio demonstration purposes and for proof of experience and skill. This is not a proprietary or internal financial model.</t>
  </si>
  <si>
    <t>Entire model built from scratch by  author (Eric Medore).</t>
  </si>
  <si>
    <t xml:space="preserve">Note: Numbers for years 1-3 and "pre-sales" were determined by year 4 targets as this is a hypothetical example for a business in the middle of its maturity. </t>
  </si>
  <si>
    <t>Tab Guide</t>
  </si>
  <si>
    <t>Cover</t>
  </si>
  <si>
    <t>1. Executive Dashboard</t>
  </si>
  <si>
    <t>2. Financial Summary</t>
  </si>
  <si>
    <t>3. Assumptions and Drivers</t>
  </si>
  <si>
    <t>4. Revenue and Volume</t>
  </si>
  <si>
    <t>5. Payroll and Headcount</t>
  </si>
  <si>
    <t>6. OpEx and CapEx</t>
  </si>
  <si>
    <t>7. Debt and PP&amp;E</t>
  </si>
  <si>
    <t>8. Financial Statements</t>
  </si>
  <si>
    <t>9. Multi-Year Projection</t>
  </si>
  <si>
    <t>10. Valuation and DCF Dashboard</t>
  </si>
  <si>
    <t>11. Revenue Testing</t>
  </si>
  <si>
    <t>Executive Dashboard for Year 4 (2026)</t>
  </si>
  <si>
    <t>STUDENT GROWTH</t>
  </si>
  <si>
    <t>TUITION PRICE</t>
  </si>
  <si>
    <t>GROSS PROFIT</t>
  </si>
  <si>
    <t>PROFIT GROWTH</t>
  </si>
  <si>
    <t>NET INCOME</t>
  </si>
  <si>
    <t>INCOME GROWTH</t>
  </si>
  <si>
    <t>EBITDA MARGIN</t>
  </si>
  <si>
    <t>Monthly Net Income</t>
  </si>
  <si>
    <t>Annual Gross Revenue vs Revenue Growth</t>
  </si>
  <si>
    <t>Annual Net Income vs Income Growth</t>
  </si>
  <si>
    <t>Annual EBITDA vs EBITDA Margin</t>
  </si>
  <si>
    <t>Annual Students vs OpEx</t>
  </si>
  <si>
    <t xml:space="preserve">Monthly Income </t>
  </si>
  <si>
    <t>Gross Revenue vs Revenue Growth</t>
  </si>
  <si>
    <t>Net Income vs Income Growth</t>
  </si>
  <si>
    <t>EBITDA vs EBITDA Margin</t>
  </si>
  <si>
    <t>Students vs OpEx</t>
  </si>
  <si>
    <t>Month</t>
  </si>
  <si>
    <t>Income</t>
  </si>
  <si>
    <t>Gross Revenue</t>
  </si>
  <si>
    <t>Revenue Growth</t>
  </si>
  <si>
    <t>Net Income</t>
  </si>
  <si>
    <t>Income Growth</t>
  </si>
  <si>
    <t>EBITDA</t>
  </si>
  <si>
    <t xml:space="preserve">EBITDA Margin </t>
  </si>
  <si>
    <t>Students</t>
  </si>
  <si>
    <t>OpEx</t>
  </si>
  <si>
    <t>JAN</t>
  </si>
  <si>
    <t>Pre-Sales</t>
  </si>
  <si>
    <t>FEB</t>
  </si>
  <si>
    <t>Year 1</t>
  </si>
  <si>
    <t>MAR</t>
  </si>
  <si>
    <t>Year 2</t>
  </si>
  <si>
    <t>APR</t>
  </si>
  <si>
    <t>Year 3</t>
  </si>
  <si>
    <t>MAY</t>
  </si>
  <si>
    <t>Year 4</t>
  </si>
  <si>
    <t>JUN</t>
  </si>
  <si>
    <t>Year 5</t>
  </si>
  <si>
    <t>JUL</t>
  </si>
  <si>
    <t>Year 6</t>
  </si>
  <si>
    <t>AUG</t>
  </si>
  <si>
    <t>Year 7</t>
  </si>
  <si>
    <t>SEP</t>
  </si>
  <si>
    <t>Year 8</t>
  </si>
  <si>
    <t>OCT</t>
  </si>
  <si>
    <t>Year 9</t>
  </si>
  <si>
    <t>NOV</t>
  </si>
  <si>
    <t>Year 10</t>
  </si>
  <si>
    <t>DEC</t>
  </si>
  <si>
    <t>Line Item</t>
  </si>
  <si>
    <t>Units</t>
  </si>
  <si>
    <t>Year 1 (Launch)</t>
  </si>
  <si>
    <t>Year 2 (Actual)</t>
  </si>
  <si>
    <t>Year 3 (Actual)</t>
  </si>
  <si>
    <t>Month 0</t>
  </si>
  <si>
    <t>Year 4 Targets</t>
  </si>
  <si>
    <t>Year 5 (Prediction)</t>
  </si>
  <si>
    <t>Year 6 (Prediction)</t>
  </si>
  <si>
    <t>Year 7 (Prediction)</t>
  </si>
  <si>
    <t>Year 8 (Prediction)</t>
  </si>
  <si>
    <t>Year 9 (Prediction)</t>
  </si>
  <si>
    <t>Year 10 (Prediction)</t>
  </si>
  <si>
    <t>Historical Summary and Outlook</t>
  </si>
  <si>
    <t>Starting Active Students</t>
  </si>
  <si>
    <t>Ending Active Students</t>
  </si>
  <si>
    <t>Total Active Class Cohorts</t>
  </si>
  <si>
    <t>Classes</t>
  </si>
  <si>
    <t>Annual Tuition</t>
  </si>
  <si>
    <t>$</t>
  </si>
  <si>
    <t xml:space="preserve">Core Baseline Tuition </t>
  </si>
  <si>
    <t xml:space="preserve">Summer Course Enrollment </t>
  </si>
  <si>
    <t>-</t>
  </si>
  <si>
    <t>Summer Course Revenue</t>
  </si>
  <si>
    <t>Short Course Enrollment Max (Non-Summer)</t>
  </si>
  <si>
    <t>Short Course Revenue (Non-Summer)</t>
  </si>
  <si>
    <t>Total Short Course Revenue</t>
  </si>
  <si>
    <t>Less: Customer Refunds</t>
  </si>
  <si>
    <t>Gross Profit</t>
  </si>
  <si>
    <t>Gross Margin</t>
  </si>
  <si>
    <t>%</t>
  </si>
  <si>
    <t>EBITDA Margin</t>
  </si>
  <si>
    <t xml:space="preserve">Debt Outstanding </t>
  </si>
  <si>
    <t>Note: Specific enrollment seats for short courses are determined by actual previous year's enrollment due do their inpredictability, instead, we use a set revenue target for decision making</t>
  </si>
  <si>
    <t xml:space="preserve">Income Statement (Year 4 - 2026) </t>
  </si>
  <si>
    <t>End of Year</t>
  </si>
  <si>
    <t xml:space="preserve">(-) Refunds and Penalties </t>
  </si>
  <si>
    <t>Net Revenue</t>
  </si>
  <si>
    <t>(-) COGS</t>
  </si>
  <si>
    <t xml:space="preserve">Gross Profit </t>
  </si>
  <si>
    <t>(-) Operating Expenses (OpEx)</t>
  </si>
  <si>
    <t>(-) Depreciation Expense</t>
  </si>
  <si>
    <t>EBIT</t>
  </si>
  <si>
    <t>(-) Interest Expense</t>
  </si>
  <si>
    <t>EBT</t>
  </si>
  <si>
    <t>(-) State Income Taxes</t>
  </si>
  <si>
    <t>(-) Federal Income Taxes</t>
  </si>
  <si>
    <t xml:space="preserve">Line Item </t>
  </si>
  <si>
    <t>Values</t>
  </si>
  <si>
    <t>Financial Inputs</t>
  </si>
  <si>
    <t>Personnel Capacity &amp; Staffing Matrix</t>
  </si>
  <si>
    <t>COGS</t>
  </si>
  <si>
    <t>Max Students per Class</t>
  </si>
  <si>
    <t>Center Manager</t>
  </si>
  <si>
    <t xml:space="preserve">Count </t>
  </si>
  <si>
    <t>Employer Taxes and Benefits (Healthcare, etc)</t>
  </si>
  <si>
    <t>Annual Tuition (Base)</t>
  </si>
  <si>
    <t xml:space="preserve">Director </t>
  </si>
  <si>
    <t>Count</t>
  </si>
  <si>
    <t>Fully Burdened Direct Labor Costs</t>
  </si>
  <si>
    <t>Annual Tuition Price Escalator</t>
  </si>
  <si>
    <t>Assistant Center Manager</t>
  </si>
  <si>
    <t>Monthly Maintenance Fees per Student</t>
  </si>
  <si>
    <t>Min Students to Open Class</t>
  </si>
  <si>
    <t xml:space="preserve">Students </t>
  </si>
  <si>
    <t>Senior Teacher Max Classes</t>
  </si>
  <si>
    <t xml:space="preserve">Classes </t>
  </si>
  <si>
    <t>Additional Registration Fees for New Students</t>
  </si>
  <si>
    <t>Short Course Premium Fee (Summer)</t>
  </si>
  <si>
    <t xml:space="preserve">Senior Teachers </t>
  </si>
  <si>
    <t xml:space="preserve">Transaction Fees </t>
  </si>
  <si>
    <t>Short Course Enrollment Max (Summer)</t>
  </si>
  <si>
    <t>Senior Teacher Hiring Trigger</t>
  </si>
  <si>
    <t>Teachers</t>
  </si>
  <si>
    <t>Short Course Premium Fee (Non-Summer)</t>
  </si>
  <si>
    <t xml:space="preserve">Teacher Max Classes </t>
  </si>
  <si>
    <t xml:space="preserve">Teachers </t>
  </si>
  <si>
    <t>Short Course Premium Fee Escalator</t>
  </si>
  <si>
    <t>Teacher Hiring Trigger</t>
  </si>
  <si>
    <t>Facility Rent (Fixed Annual)</t>
  </si>
  <si>
    <t>Current Year Tuition Cost</t>
  </si>
  <si>
    <t>Total Teachers (Senior + Standard)</t>
  </si>
  <si>
    <t>Fixed Marketing Fees (Annual)</t>
  </si>
  <si>
    <t>Learning Partner to Total Teachers Ratio</t>
  </si>
  <si>
    <t>Ratio</t>
  </si>
  <si>
    <t>Additional Monthly Marketing Budget (per Salesperson)</t>
  </si>
  <si>
    <t>Compensation &amp; Benefits</t>
  </si>
  <si>
    <t>Learning Partner Hiring Trigger</t>
  </si>
  <si>
    <t>Utilities (Fixed Annual Base)</t>
  </si>
  <si>
    <t>Center Manager Annual Salary</t>
  </si>
  <si>
    <t>Class Coordinator to Teacher Ratio</t>
  </si>
  <si>
    <t>Variable Utility Cost per Student (Capacity &gt; 100)</t>
  </si>
  <si>
    <t>Center Manager Bonus</t>
  </si>
  <si>
    <t>Sales Representative</t>
  </si>
  <si>
    <t>Insurance and Legal Fees (Annual)</t>
  </si>
  <si>
    <t>Center Manager Bonus Threshold (Revenue Growth)</t>
  </si>
  <si>
    <t>Sales Representative Hiring Trigger</t>
  </si>
  <si>
    <t>Curriculum Licenses (Annual)</t>
  </si>
  <si>
    <t>Director Annual Salary</t>
  </si>
  <si>
    <t>Front Desk Associates</t>
  </si>
  <si>
    <t>Staff Training Support (Annual)</t>
  </si>
  <si>
    <t>Director Bonus</t>
  </si>
  <si>
    <t>Childcare Professional</t>
  </si>
  <si>
    <t>Director Bonus Threshold (Center Student Retention)</t>
  </si>
  <si>
    <t>Childcare Professional Hiring Trigger</t>
  </si>
  <si>
    <t>CapEx</t>
  </si>
  <si>
    <t>Assistant Center Manager Salary</t>
  </si>
  <si>
    <t>Custodial/Maintenance</t>
  </si>
  <si>
    <t>Classroom Furniture (per New Classroom)</t>
  </si>
  <si>
    <t>Assistant Center Manager Bonus</t>
  </si>
  <si>
    <t>Security</t>
  </si>
  <si>
    <t>Classroom Materials (per New Classroom)</t>
  </si>
  <si>
    <t>Assistant Center Manager Bonus Threshold (Total New Sales)</t>
  </si>
  <si>
    <t>Recruitment and Onboarding Fees as % of Annual Base Salary (Full-Time)</t>
  </si>
  <si>
    <t>Interactive Whiteboard - IWB (per New Classroom)</t>
  </si>
  <si>
    <t>Senior Teacher Annual Salary</t>
  </si>
  <si>
    <t>Recruitment and Onboarding Fees (Part-Time)</t>
  </si>
  <si>
    <t>Technology (per New Classroom)</t>
  </si>
  <si>
    <t>Senior Teacher Bonus</t>
  </si>
  <si>
    <t>Total Employee Historical Turn Over Rate (Annual)</t>
  </si>
  <si>
    <t>New Fiscal Year Buildouts and Updates (One-Time, Month 1)</t>
  </si>
  <si>
    <t>Senior Teacher Threshold (Student Retention)</t>
  </si>
  <si>
    <t>Monthly Employee Training Budget</t>
  </si>
  <si>
    <t xml:space="preserve">Teacher Annual Salary </t>
  </si>
  <si>
    <t>Teacher Bonus</t>
  </si>
  <si>
    <t>Targets and Parameters</t>
  </si>
  <si>
    <t>Capital Structure &amp; Asset Drivers</t>
  </si>
  <si>
    <t xml:space="preserve">Teacher Bonus Threshold (Student Retention) </t>
  </si>
  <si>
    <t>Annual New Student Growth</t>
  </si>
  <si>
    <t>Beginning Net PP&amp;E</t>
  </si>
  <si>
    <t>Class Coordinator Annual Salary</t>
  </si>
  <si>
    <t>Expected Monthly Student Churn</t>
  </si>
  <si>
    <t>Useful Life - Furniture</t>
  </si>
  <si>
    <t>Years</t>
  </si>
  <si>
    <t>Class Coordinator Bonus</t>
  </si>
  <si>
    <t>Maximum Student Capacity (Start of Year)</t>
  </si>
  <si>
    <t>Useful Life - IT, IWBs, Other Tech</t>
  </si>
  <si>
    <t>Class Coordinator Bonus Threshold (Student Retention)</t>
  </si>
  <si>
    <t>Maximum Student Capacity (End of Year)</t>
  </si>
  <si>
    <t>Useful Life - Facility Buildout</t>
  </si>
  <si>
    <t>Sales Representative Annual Salary</t>
  </si>
  <si>
    <t>Maximum Tuition Revenue (End of Year)</t>
  </si>
  <si>
    <t>Original Debt</t>
  </si>
  <si>
    <t>Sales Representative Commission per New Sale</t>
  </si>
  <si>
    <t>Maximum Possible Short Course Revenue (End of Year)</t>
  </si>
  <si>
    <t>Existing Debt Outstanding</t>
  </si>
  <si>
    <t>Sales Representative Annual New Sale Target</t>
  </si>
  <si>
    <t>Total Maximum Possible Revenue (End of Year)</t>
  </si>
  <si>
    <t>Annual Interest Rate</t>
  </si>
  <si>
    <t>Learning Partner Annual Salary</t>
  </si>
  <si>
    <t>Remaining Term Loan</t>
  </si>
  <si>
    <t>Months</t>
  </si>
  <si>
    <t>Learning Partner Annual Bonus</t>
  </si>
  <si>
    <t>Sales Drivers</t>
  </si>
  <si>
    <t>Learning Partner Bonus Threshold (Satisfaction Survey)</t>
  </si>
  <si>
    <t>Sales Team Starting Headcount</t>
  </si>
  <si>
    <t>Taxes</t>
  </si>
  <si>
    <t>Front Desk Associate Annual Salary</t>
  </si>
  <si>
    <t>Target Sales per Rep (Non-Summer)</t>
  </si>
  <si>
    <t>Student/Month</t>
  </si>
  <si>
    <t>State Taxes</t>
  </si>
  <si>
    <t>Front Desk Annual Bonus</t>
  </si>
  <si>
    <t>Target Sales per Rep (Non-Summer) Revenue</t>
  </si>
  <si>
    <t>Federal Taxes</t>
  </si>
  <si>
    <t xml:space="preserve">Front Desk Bonus Threshold (Satisfaction Survey) </t>
  </si>
  <si>
    <t>Target Sales per Rep (Jun-Aug)</t>
  </si>
  <si>
    <t>Students/Month</t>
  </si>
  <si>
    <t>Childcare Professional Hourly Rate</t>
  </si>
  <si>
    <t>$/Hour</t>
  </si>
  <si>
    <t xml:space="preserve">Target Sales per Rep (Jun-Aug) Revenue </t>
  </si>
  <si>
    <t>Cash</t>
  </si>
  <si>
    <t>Childcare Professional Monthly Hourly Target</t>
  </si>
  <si>
    <t>Hours</t>
  </si>
  <si>
    <t>New Hire Sales Ramp Period</t>
  </si>
  <si>
    <t>Beginning Cash Balance (Month 0)</t>
  </si>
  <si>
    <t>Childcare Professional Annual Estimated Earnings</t>
  </si>
  <si>
    <t>Maintenance/Custodial Salary</t>
  </si>
  <si>
    <t>Risk &amp; Operational Penalty Drivers</t>
  </si>
  <si>
    <t>Security Salary</t>
  </si>
  <si>
    <t>Estimated Refund Rate</t>
  </si>
  <si>
    <t>Team Building Monthly Budget per Employee</t>
  </si>
  <si>
    <t xml:space="preserve">Estimated Refund Amount (Annual) </t>
  </si>
  <si>
    <t xml:space="preserve">Misc. Monthly Employee Benefits (Excluding Healthcare) </t>
  </si>
  <si>
    <t>Class Size Drop Threshold</t>
  </si>
  <si>
    <t xml:space="preserve">Class Size Drop Duration Limit </t>
  </si>
  <si>
    <t xml:space="preserve">Merged Class Revenue Drop (Low) </t>
  </si>
  <si>
    <t xml:space="preserve">Merged Class Revenue Drop (High) </t>
  </si>
  <si>
    <t>Merged Class Assumed Variance Factor</t>
  </si>
  <si>
    <t xml:space="preserve">Month 0 </t>
  </si>
  <si>
    <t>Year End Total</t>
  </si>
  <si>
    <t>Student Enrollment Growth/Churn</t>
  </si>
  <si>
    <t>New Student Growth</t>
  </si>
  <si>
    <t>Student Churn</t>
  </si>
  <si>
    <t>Net Growth</t>
  </si>
  <si>
    <t>Student Seat Utilization</t>
  </si>
  <si>
    <t xml:space="preserve">Operational Capacity </t>
  </si>
  <si>
    <t>Blended Average Class Size</t>
  </si>
  <si>
    <t>Students/Class</t>
  </si>
  <si>
    <t>Note: Red = Average Class Size Below KPI</t>
  </si>
  <si>
    <t>Financial Revenue</t>
  </si>
  <si>
    <t>Memo: Active Annual Tuition Rate</t>
  </si>
  <si>
    <t>$/Student</t>
  </si>
  <si>
    <t>New Tuition Revenue</t>
  </si>
  <si>
    <t xml:space="preserve">Gross Tuition Revenue </t>
  </si>
  <si>
    <t>Short Course Premium Revenue (Summer)</t>
  </si>
  <si>
    <t>Short Course Premium Revenue (Non-Summer)</t>
  </si>
  <si>
    <t xml:space="preserve">Less: Class Merger Revenue Penalty </t>
  </si>
  <si>
    <t xml:space="preserve">Less: Tuition Refunds </t>
  </si>
  <si>
    <t>Contract and Deferred Revenue</t>
  </si>
  <si>
    <t>Expiring Contracts</t>
  </si>
  <si>
    <t xml:space="preserve">Renewing Students </t>
  </si>
  <si>
    <t>Total Upfront Contract Signs</t>
  </si>
  <si>
    <t>Upfront Cash Collected</t>
  </si>
  <si>
    <t>Short Course Cash Collected</t>
  </si>
  <si>
    <t>Total Cash Collected</t>
  </si>
  <si>
    <t>January Cohort Revenue Stream</t>
  </si>
  <si>
    <t>February Cohort Revenue Stream</t>
  </si>
  <si>
    <t>March Cohort Revenue Stream</t>
  </si>
  <si>
    <t>April Cohort Revenue Stream</t>
  </si>
  <si>
    <t>May Cohort Revenue Stream</t>
  </si>
  <si>
    <t>June Cohort Revenue Stream</t>
  </si>
  <si>
    <t>July Cohort Revenue Stream</t>
  </si>
  <si>
    <t>August Cohort Revenue Stream</t>
  </si>
  <si>
    <t>September Cohort Revenue Stream</t>
  </si>
  <si>
    <t>October Cohort Revenue Stream</t>
  </si>
  <si>
    <t>November Cohort Revenue Stream</t>
  </si>
  <si>
    <t>December Cohort Revenue Stream</t>
  </si>
  <si>
    <t>Total Recognized Revenue: New/Renewed Cohorts (memo only)</t>
  </si>
  <si>
    <t>Rate Vintage Tracking (memo)</t>
  </si>
  <si>
    <t>Students Pending Renewal (Prior-Year Rate)</t>
  </si>
  <si>
    <t>Students on Current-Year Rate</t>
  </si>
  <si>
    <t>Unit</t>
  </si>
  <si>
    <t xml:space="preserve">Year End </t>
  </si>
  <si>
    <t>Personnel Count and Headcount Summary</t>
  </si>
  <si>
    <t xml:space="preserve">Center Manager </t>
  </si>
  <si>
    <t>Director</t>
  </si>
  <si>
    <t xml:space="preserve">Senior Teacher </t>
  </si>
  <si>
    <t>Teacher</t>
  </si>
  <si>
    <t>Learning Partner</t>
  </si>
  <si>
    <t xml:space="preserve">Class Coordinator </t>
  </si>
  <si>
    <t>Front Desk Associate</t>
  </si>
  <si>
    <t xml:space="preserve">Maintenance/Custodial </t>
  </si>
  <si>
    <t>Total Headcount</t>
  </si>
  <si>
    <t>Labor Costs</t>
  </si>
  <si>
    <t>Direct Labor Costs (COGS)</t>
  </si>
  <si>
    <t>Senior Teacher Salary</t>
  </si>
  <si>
    <t>Teacher Salary</t>
  </si>
  <si>
    <t>Learning Partner (Salary)</t>
  </si>
  <si>
    <t>Learning Partner Bonus</t>
  </si>
  <si>
    <t xml:space="preserve">Childcare Professional </t>
  </si>
  <si>
    <t>Subtotal: Direct Labor Costs (COGS)</t>
  </si>
  <si>
    <t xml:space="preserve">Indirect Labor (OpEx) </t>
  </si>
  <si>
    <t>Center Manager Salary</t>
  </si>
  <si>
    <t>Director Salary</t>
  </si>
  <si>
    <t>Class Coordinator Salary</t>
  </si>
  <si>
    <t>Sales Representative Salary</t>
  </si>
  <si>
    <t>Sales Representative Commission</t>
  </si>
  <si>
    <t>Front Desk Associate Salary</t>
  </si>
  <si>
    <t>Front Desk Associate Bonus</t>
  </si>
  <si>
    <t xml:space="preserve">Security </t>
  </si>
  <si>
    <t>Subtotal: Indirect Labor Costs (OpEx)</t>
  </si>
  <si>
    <t>Total Labor Costs</t>
  </si>
  <si>
    <t>Total Gross Payroll</t>
  </si>
  <si>
    <t>Employer Taxes and Benefits Load</t>
  </si>
  <si>
    <t>Total Burdened Direct Labor Costs (COGS)</t>
  </si>
  <si>
    <t>Total Burdened Indirect Labor Costs (OpEx)</t>
  </si>
  <si>
    <t>Total Fully Burdened Payroll</t>
  </si>
  <si>
    <t>Recruitment and Onboarding Fees</t>
  </si>
  <si>
    <t>Childcare Professional (Part-Time)</t>
  </si>
  <si>
    <t>Total New Position Recruitment Fees</t>
  </si>
  <si>
    <t>Employee Turnover Replacement Fees (Est)</t>
  </si>
  <si>
    <t>Total Recruitment and Onboarding Fees</t>
  </si>
  <si>
    <t>Variable OpEX</t>
  </si>
  <si>
    <t>Total Burdened Direct Labor (COGS)</t>
  </si>
  <si>
    <t>Total Burdened Indirect Labor (OpEX)</t>
  </si>
  <si>
    <t>Total Fully Burdened Labor Costs</t>
  </si>
  <si>
    <t>Total Monthly Employee Benefits (Non-Healthcare)</t>
  </si>
  <si>
    <t>Total Monthly Fees per Student (COGS)</t>
  </si>
  <si>
    <t>Total Fees for New Registrations (COGS)</t>
  </si>
  <si>
    <t>Transaction Fees (COGS)</t>
  </si>
  <si>
    <t>Marketing</t>
  </si>
  <si>
    <t>Total Variable OpEx</t>
  </si>
  <si>
    <t>Fixed OpEX</t>
  </si>
  <si>
    <t>Annual Facility Rent</t>
  </si>
  <si>
    <t>Utilities</t>
  </si>
  <si>
    <t>Insurance and Legal Fees</t>
  </si>
  <si>
    <t>Curriculum Licenses</t>
  </si>
  <si>
    <t>Staff Training Support</t>
  </si>
  <si>
    <t>Total Fixed OpEx</t>
  </si>
  <si>
    <t>Total OpEx</t>
  </si>
  <si>
    <t>Classroom Furniture</t>
  </si>
  <si>
    <t xml:space="preserve">Classroom Materials </t>
  </si>
  <si>
    <t>IWB</t>
  </si>
  <si>
    <t xml:space="preserve">Technology </t>
  </si>
  <si>
    <t>Facility Buildout and Signage</t>
  </si>
  <si>
    <t>Total CapEx</t>
  </si>
  <si>
    <t>Total OpEx and CapEx</t>
  </si>
  <si>
    <t>Totals</t>
  </si>
  <si>
    <t>PP&amp;E Schedule</t>
  </si>
  <si>
    <t>(+) New CapEx Additions</t>
  </si>
  <si>
    <t xml:space="preserve">(-) Depreciation Expense </t>
  </si>
  <si>
    <t>Ending Net PP&amp;E</t>
  </si>
  <si>
    <t>Debt Schedule</t>
  </si>
  <si>
    <t>Beginning Debt Balance</t>
  </si>
  <si>
    <t>(+) New Debt Draws</t>
  </si>
  <si>
    <t>(-) Principal Repayments</t>
  </si>
  <si>
    <t>Ending Debt Balance</t>
  </si>
  <si>
    <t>Interest Expense</t>
  </si>
  <si>
    <t>Total Monthly Debt Expenses</t>
  </si>
  <si>
    <t>EBIDTA</t>
  </si>
  <si>
    <t>(-) Cash Taxes Paid</t>
  </si>
  <si>
    <t>Maintenance CapEx</t>
  </si>
  <si>
    <t>Change in Deferred Revenue</t>
  </si>
  <si>
    <t>Cash Flow Available for Debt Services (CFADS)</t>
  </si>
  <si>
    <t>Debt Service Coverage Ratio (DSCR)</t>
  </si>
  <si>
    <t>Income Statement</t>
  </si>
  <si>
    <t xml:space="preserve">Total Expenses </t>
  </si>
  <si>
    <t>Cash Flow Statement</t>
  </si>
  <si>
    <t>Cash Flow From Operating Activities</t>
  </si>
  <si>
    <t xml:space="preserve">(+) Depreciation Expense </t>
  </si>
  <si>
    <t>(+) Change in Deferred Revenue</t>
  </si>
  <si>
    <t xml:space="preserve">Net Cash from Operating Activities </t>
  </si>
  <si>
    <t xml:space="preserve">Cash Flow from Investing Activities </t>
  </si>
  <si>
    <t>(-) Capital Expenditures (CapEx Additions)</t>
  </si>
  <si>
    <t xml:space="preserve">Net Cash from Investing Activities </t>
  </si>
  <si>
    <t xml:space="preserve">Cash Flow from Financing Activities </t>
  </si>
  <si>
    <t xml:space="preserve">(-) Debt Principal Repayments </t>
  </si>
  <si>
    <t xml:space="preserve">Net Cash from Financing Activities </t>
  </si>
  <si>
    <t xml:space="preserve">Net Change in Cash </t>
  </si>
  <si>
    <t>Cash Balance - Beginning of Month</t>
  </si>
  <si>
    <t>Cash Balance - End of Month</t>
  </si>
  <si>
    <t>Balance Sheet</t>
  </si>
  <si>
    <t>Assets</t>
  </si>
  <si>
    <t>Cash Balance</t>
  </si>
  <si>
    <t>PP&amp;E</t>
  </si>
  <si>
    <t>Total Assets</t>
  </si>
  <si>
    <t xml:space="preserve">Liabilities </t>
  </si>
  <si>
    <t xml:space="preserve">Deferred Revenue </t>
  </si>
  <si>
    <t>Long-Term Debt</t>
  </si>
  <si>
    <t xml:space="preserve">Total Liabilities </t>
  </si>
  <si>
    <t>Equity</t>
  </si>
  <si>
    <t>Retained Earnings (incl. pre-forecast opening equity)</t>
  </si>
  <si>
    <t xml:space="preserve">Total Equity </t>
  </si>
  <si>
    <t>Total Liability and Equity</t>
  </si>
  <si>
    <t xml:space="preserve">Balance Check </t>
  </si>
  <si>
    <t>Year 4 (Actual)</t>
  </si>
  <si>
    <t>Operational Build</t>
  </si>
  <si>
    <t>Renewing Students (85% of Starting)</t>
  </si>
  <si>
    <t>Sales Reps (start of year)</t>
  </si>
  <si>
    <t>Blended Annual Quota per Rep</t>
  </si>
  <si>
    <t>New Students (Sales-Driven)</t>
  </si>
  <si>
    <t>Total Classes</t>
  </si>
  <si>
    <t>Senior Teachers</t>
  </si>
  <si>
    <t>Total Teaching Staff (Senior + Teacher)</t>
  </si>
  <si>
    <t>Sales Reps (end of year)</t>
  </si>
  <si>
    <t>Direct COGS Employees</t>
  </si>
  <si>
    <t>Revenue Build</t>
  </si>
  <si>
    <t>Tuition Rate (escalates 3%/yr)</t>
  </si>
  <si>
    <t>Tuition Revenue</t>
  </si>
  <si>
    <t>Short Course Revenue (escalates 2%/yr + enrollment growth)</t>
  </si>
  <si>
    <t>(-) Refunds (3% of gross revenue)</t>
  </si>
  <si>
    <t>Cost Build</t>
  </si>
  <si>
    <t>Direct Labor &amp; Student-Driven COGS</t>
  </si>
  <si>
    <t>Indirect Labor, Marketing &amp; Recruitment (scale with staff)</t>
  </si>
  <si>
    <t>Fixed OpEx (3%/yr inflation)</t>
  </si>
  <si>
    <t>Total Operating Costs</t>
  </si>
  <si>
    <t>EBITDA Margin %</t>
  </si>
  <si>
    <t>New Teachers Hired (triggers new classroom)</t>
  </si>
  <si>
    <t>CapEx (new classrooms x Year 4 unit costs)</t>
  </si>
  <si>
    <t>D&amp;A (prior D&amp;A + new CapEx / 7yr blended life)</t>
  </si>
  <si>
    <t>(-) Interest Expenses</t>
  </si>
  <si>
    <t>Tax Rate (blended) %</t>
  </si>
  <si>
    <t>(-) Taxes</t>
  </si>
  <si>
    <t>Unlevered Free Cash Flow</t>
  </si>
  <si>
    <t>Valuation and DCF Dashboard</t>
  </si>
  <si>
    <t>Free Cash Flow</t>
  </si>
  <si>
    <t>Metric Lookup</t>
  </si>
  <si>
    <t>Enter Year:</t>
  </si>
  <si>
    <t>Discount Period</t>
  </si>
  <si>
    <t>Enter Metric:</t>
  </si>
  <si>
    <t>Unlevered FCF</t>
  </si>
  <si>
    <t>Result:</t>
  </si>
  <si>
    <t>Cost of Debt (pre-tax)</t>
  </si>
  <si>
    <t>Tax Rate</t>
  </si>
  <si>
    <t>Risk-Free Rate (10y Treasury)</t>
  </si>
  <si>
    <t>Beta</t>
  </si>
  <si>
    <t>Expected Market Return</t>
  </si>
  <si>
    <t>Cost of Equity (CAPM)</t>
  </si>
  <si>
    <t>Market Value of Debt (current)</t>
  </si>
  <si>
    <t>Market Value of Equity (proxy: book value)</t>
  </si>
  <si>
    <t>D / (D+E)</t>
  </si>
  <si>
    <t>E / (D+E)</t>
  </si>
  <si>
    <t>WACC</t>
  </si>
  <si>
    <t>Terminal Value (applied after Year 10)</t>
  </si>
  <si>
    <t>Long-Term Growth Rate (g)</t>
  </si>
  <si>
    <t>EV / EBITDA Exit Multiple</t>
  </si>
  <si>
    <t>Year 10 EBITDA</t>
  </si>
  <si>
    <t>Year 10 FCF</t>
  </si>
  <si>
    <t>Perpetuity Growth TV</t>
  </si>
  <si>
    <t>EV/EBITDA Exit TV</t>
  </si>
  <si>
    <t>Average Terminal Value</t>
  </si>
  <si>
    <t>Discounting</t>
  </si>
  <si>
    <t>Discount Factor</t>
  </si>
  <si>
    <t>PV of FCF</t>
  </si>
  <si>
    <t>Sum of PV of FCF (Years 4-10)</t>
  </si>
  <si>
    <t>PV of Terminal Value</t>
  </si>
  <si>
    <t>Enterprise Value</t>
  </si>
  <si>
    <t>Enterprise Value to Equity Value (as of today / Year 4 balance sheet)</t>
  </si>
  <si>
    <t>(+) Cash (current)</t>
  </si>
  <si>
    <t>(-) Debt (current)</t>
  </si>
  <si>
    <t>Implied Equity Value</t>
  </si>
  <si>
    <t>Sensitivity: Implied Equity Value by WACC and Growth Rate</t>
  </si>
  <si>
    <t>Year</t>
  </si>
  <si>
    <t>Ending Students</t>
  </si>
  <si>
    <t>Human Capital Lookup</t>
  </si>
  <si>
    <t>Tuition Testing Calculator</t>
  </si>
  <si>
    <t>Variance</t>
  </si>
  <si>
    <t>Role/Title</t>
  </si>
  <si>
    <t>Enter: Tuition Target Price</t>
  </si>
  <si>
    <t>Annual Salary</t>
  </si>
  <si>
    <t>Est. 2026 Gross Revenue</t>
  </si>
  <si>
    <t>Variable Bonus Target</t>
  </si>
  <si>
    <t>Est. 2026 Net Income</t>
  </si>
  <si>
    <t>Maximum Pay</t>
  </si>
  <si>
    <t xml:space="preserve">Note: Net Income is based on current expenses </t>
  </si>
  <si>
    <t>Corporate Labor Burden</t>
  </si>
  <si>
    <t>Note: Assuming 2026 Year End Enrollment (514)</t>
  </si>
  <si>
    <t>Final Burdened Cash Flow</t>
  </si>
  <si>
    <t>Student Calculator</t>
  </si>
  <si>
    <t>Sales Commission Performance</t>
  </si>
  <si>
    <t>New Students</t>
  </si>
  <si>
    <t>Enter: Avg. Sales per Rep (Annual)</t>
  </si>
  <si>
    <t>Est. Gross Revenue</t>
  </si>
  <si>
    <t>Enter: Effective Sales Rep Headcount</t>
  </si>
  <si>
    <t xml:space="preserve">Est. 2026 Net Income </t>
  </si>
  <si>
    <t>Target Unit Commission Rate</t>
  </si>
  <si>
    <t>Note: Based on current tuition rate of $7102.73</t>
  </si>
  <si>
    <t>Gross Commissions Incurred</t>
  </si>
  <si>
    <t>Gross Top-Line Revenue Generated</t>
  </si>
  <si>
    <t>Commission % of Revenue</t>
  </si>
  <si>
    <t>Note: KPI per Rep - 6 sales pm, 9 sales pm June-August</t>
  </si>
  <si>
    <t xml:space="preserve">Note: Assumed original amount of sales reps is 2 </t>
  </si>
  <si>
    <t>Tuition to Reach Target Revenue</t>
  </si>
  <si>
    <t>Enter: Target Gross Revenue</t>
  </si>
  <si>
    <t>New Tuition</t>
  </si>
  <si>
    <t>New Net Income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</si>
</sst>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mmm yyyy"/>
    <numFmt numFmtId="165" formatCode="&quot;$&quot;#,##0"/>
    <numFmt numFmtId="166" formatCode="&quot;$&quot;#,##0.00"/>
    <numFmt numFmtId="167" formatCode="_(&quot;$&quot;* #,##0.00_);_(&quot;$&quot;* \(#,##0.00\);_(&quot;$&quot;* &quot;-&quot;??_);_(@_)"/>
    <numFmt numFmtId="168" formatCode="_(&quot;$&quot;* #,##0.00_);_(&quot;$&quot;* \(#,##0.00\);_(&quot;$&quot;* &quot;-&quot;??.00_);_(@_)"/>
    <numFmt numFmtId="169" formatCode="_(&quot;$&quot;* #,##0_);_(&quot;$&quot;* \(#,##0\);_(&quot;$&quot;* &quot;-&quot;??_);_(@_)"/>
    <numFmt numFmtId="170" formatCode="0.0%"/>
    <numFmt numFmtId="171" formatCode="_(&quot;$&quot;* #,##0.00_);_(&quot;$&quot;* \(#,##0.00\);_(&quot;$&quot;* &quot;-&quot;??.0_);_(@_)"/>
    <numFmt numFmtId="172" formatCode="0.00&quot;x&quot;"/>
    <numFmt numFmtId="173" formatCode="0.0&quot;x&quot;"/>
  </numFmts>
  <fonts count="70">
    <font>
      <sz val="10.0"/>
      <color rgb="FF000000"/>
      <name val="Arial"/>
      <scheme val="minor"/>
    </font>
    <font>
      <b/>
      <sz val="15.0"/>
      <color rgb="FF000000"/>
      <name val="Arial"/>
    </font>
    <font>
      <sz val="16.0"/>
      <color rgb="FF000000"/>
      <name val="Arial"/>
    </font>
    <font>
      <sz val="10.0"/>
      <color rgb="FF000000"/>
      <name val="Arial"/>
    </font>
    <font>
      <sz val="13.0"/>
      <color rgb="FF000000"/>
      <name val="Arial"/>
    </font>
    <font>
      <sz val="13.0"/>
      <color theme="1"/>
      <name val="Arial"/>
    </font>
    <font>
      <b/>
      <sz val="15.0"/>
      <color theme="1"/>
      <name val="Arial"/>
    </font>
    <font>
      <sz val="16.0"/>
      <color theme="1"/>
      <name val="Arial"/>
    </font>
    <font>
      <i/>
      <sz val="16.0"/>
      <color rgb="FF666666"/>
      <name val="Arial"/>
    </font>
    <font>
      <sz val="16.0"/>
      <color rgb="FF0000FF"/>
      <name val="Arial"/>
    </font>
    <font>
      <i/>
      <sz val="16.0"/>
      <color rgb="FF808080"/>
      <name val="Arial"/>
    </font>
    <font>
      <sz val="15.0"/>
      <color theme="1"/>
      <name val="Arial"/>
    </font>
    <font>
      <sz val="16.0"/>
      <color theme="1"/>
      <name val="Arial"/>
      <scheme val="minor"/>
    </font>
    <font>
      <sz val="15.0"/>
      <color rgb="FF000000"/>
      <name val="Arial"/>
    </font>
    <font>
      <b/>
      <sz val="19.0"/>
      <color rgb="FFFFFFFF"/>
      <name val="Arial"/>
    </font>
    <font>
      <b/>
      <sz val="16.0"/>
      <color rgb="FF000000"/>
      <name val="Arial"/>
    </font>
    <font>
      <b/>
      <sz val="16.0"/>
      <color theme="1"/>
      <name val="Arial"/>
      <scheme val="minor"/>
    </font>
    <font>
      <u/>
      <sz val="16.0"/>
      <color rgb="FF0000FF"/>
      <name val="Arial"/>
    </font>
    <font>
      <sz val="12.0"/>
      <color theme="1"/>
      <name val="Century Gothic"/>
    </font>
    <font>
      <b/>
      <sz val="33.0"/>
      <color theme="1"/>
      <name val="Arial"/>
      <scheme val="minor"/>
    </font>
    <font>
      <color theme="1"/>
      <name val="Arial"/>
      <scheme val="minor"/>
    </font>
    <font>
      <b/>
      <sz val="20.0"/>
      <color theme="1"/>
      <name val="Arial"/>
    </font>
    <font>
      <b/>
      <sz val="27.0"/>
      <color theme="1"/>
      <name val="Arial"/>
    </font>
    <font/>
    <font>
      <b/>
      <sz val="27.0"/>
      <color theme="1"/>
      <name val="Arial"/>
      <scheme val="minor"/>
    </font>
    <font>
      <b/>
      <sz val="14.0"/>
      <color rgb="FF000000"/>
      <name val="Arial"/>
    </font>
    <font>
      <b/>
      <sz val="14.0"/>
      <color rgb="FF5F6368"/>
      <name val="Arial"/>
    </font>
    <font>
      <color rgb="FF5F6368"/>
      <name val="Arial"/>
      <scheme val="minor"/>
    </font>
    <font>
      <b/>
      <sz val="14.0"/>
      <color rgb="FF5F6368"/>
      <name val="Arial"/>
      <scheme val="minor"/>
    </font>
    <font>
      <b/>
      <sz val="20.0"/>
      <color theme="1"/>
      <name val="Arial"/>
      <scheme val="minor"/>
    </font>
    <font>
      <color theme="1"/>
      <name val="Arial"/>
    </font>
    <font>
      <b/>
      <sz val="15.0"/>
      <color rgb="FF5F6368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rgb="FF000000"/>
      <name val="Arial"/>
    </font>
    <font>
      <sz val="11.0"/>
      <color theme="1"/>
      <name val="Arial"/>
      <scheme val="minor"/>
    </font>
    <font>
      <sz val="12.0"/>
      <color rgb="FF0000FF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0000FF"/>
      <name val="Arial"/>
    </font>
    <font>
      <color rgb="FF000000"/>
      <name val="Arial"/>
    </font>
    <font>
      <sz val="10.0"/>
      <color rgb="FF0000FF"/>
      <name val="Arial"/>
    </font>
    <font>
      <color rgb="FF0000FF"/>
      <name val="Arial"/>
      <scheme val="minor"/>
    </font>
    <font>
      <b/>
      <color rgb="FF0000FF"/>
      <name val="Arial"/>
    </font>
    <font>
      <b/>
      <color rgb="FF0000FF"/>
      <name val="Arial"/>
      <scheme val="minor"/>
    </font>
    <font>
      <b/>
      <sz val="10.0"/>
      <color rgb="FF000000"/>
      <name val="Arial"/>
    </font>
    <font>
      <i/>
      <sz val="10.0"/>
      <color rgb="FF666666"/>
      <name val="Arial"/>
    </font>
    <font>
      <b/>
      <u/>
      <color theme="1"/>
      <name val="Arial"/>
    </font>
    <font>
      <b/>
      <u/>
      <color theme="1"/>
      <name val="Arial"/>
    </font>
    <font>
      <b/>
      <color rgb="FF000000"/>
      <name val="Arial"/>
    </font>
    <font>
      <b/>
      <u/>
      <color theme="1"/>
      <name val="Arial"/>
    </font>
    <font>
      <sz val="11.0"/>
      <color rgb="FF0000FF"/>
      <name val="Arial"/>
    </font>
    <font>
      <b/>
      <u/>
      <color theme="1"/>
      <name val="Arial"/>
    </font>
    <font>
      <i/>
      <sz val="10.0"/>
      <color rgb="FF808080"/>
      <name val="Arial"/>
    </font>
    <font>
      <b/>
      <u/>
      <color theme="1"/>
      <name val="Arial"/>
    </font>
    <font>
      <b/>
      <color rgb="FFFFFFFF"/>
      <name val="Arial"/>
    </font>
    <font>
      <b/>
      <u/>
      <color rgb="FF000000"/>
      <name val="Arial"/>
    </font>
    <font>
      <b/>
      <u/>
      <sz val="10.0"/>
      <color rgb="FF000000"/>
      <name val="Arial"/>
    </font>
    <font>
      <b/>
      <sz val="11.0"/>
      <color theme="1"/>
      <name val="Monospace"/>
    </font>
    <font>
      <b/>
      <u/>
      <color theme="1"/>
      <name val="Arial"/>
    </font>
    <font>
      <b/>
      <u/>
      <sz val="10.0"/>
      <color rgb="FF000000"/>
      <name val="Arial"/>
    </font>
    <font>
      <b/>
      <u/>
      <color rgb="FF000000"/>
      <name val="Arial"/>
    </font>
    <font>
      <b/>
      <sz val="13.0"/>
      <color rgb="FFFFFFFF"/>
      <name val="Arial"/>
    </font>
    <font>
      <b/>
      <sz val="13.0"/>
      <color rgb="FF0000FF"/>
      <name val="Arial"/>
    </font>
    <font>
      <sz val="13.0"/>
      <color rgb="FF0000FF"/>
      <name val="Arial"/>
    </font>
    <font>
      <b/>
      <sz val="13.0"/>
      <color theme="1"/>
      <name val="Arial"/>
    </font>
    <font>
      <i/>
      <sz val="9.0"/>
      <color rgb="FF808080"/>
      <name val="Arial"/>
    </font>
    <font>
      <i/>
      <color rgb="FF999999"/>
      <name val="Arial"/>
    </font>
    <font>
      <color rgb="FF999999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  <fill>
      <patternFill patternType="solid">
        <fgColor rgb="FFDADCE0"/>
        <bgColor rgb="FFDADCE0"/>
      </patternFill>
    </fill>
    <fill>
      <patternFill patternType="solid">
        <fgColor rgb="FF000080"/>
        <bgColor rgb="FF000080"/>
      </patternFill>
    </fill>
    <fill>
      <patternFill patternType="solid">
        <fgColor rgb="FFECF3F9"/>
        <bgColor rgb="FFECF3F9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BF3F9"/>
        <bgColor rgb="FFEBF3F9"/>
      </patternFill>
    </fill>
  </fills>
  <borders count="11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left"/>
    </xf>
    <xf borderId="0" fillId="0" fontId="7" numFmtId="0" xfId="0" applyAlignment="1" applyFont="1">
      <alignment horizontal="left"/>
    </xf>
    <xf borderId="0" fillId="0" fontId="9" numFmtId="0" xfId="0" applyAlignment="1" applyFont="1">
      <alignment readingOrder="0"/>
    </xf>
    <xf borderId="0" fillId="0" fontId="10" numFmtId="0" xfId="0" applyFont="1"/>
    <xf borderId="0" fillId="0" fontId="11" numFmtId="0" xfId="0" applyFont="1"/>
    <xf borderId="0" fillId="0" fontId="2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0" xfId="0" applyFont="1"/>
    <xf borderId="0" fillId="2" fontId="14" numFmtId="0" xfId="0" applyAlignment="1" applyFill="1" applyFont="1">
      <alignment horizontal="center"/>
    </xf>
    <xf borderId="0" fillId="0" fontId="15" numFmtId="49" xfId="0" applyAlignment="1" applyFont="1" applyNumberFormat="1">
      <alignment horizontal="left" readingOrder="0"/>
    </xf>
    <xf borderId="0" fillId="0" fontId="16" numFmtId="49" xfId="0" applyAlignment="1" applyFont="1" applyNumberFormat="1">
      <alignment horizontal="left" readingOrder="0"/>
    </xf>
    <xf borderId="0" fillId="0" fontId="17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0" fontId="18" numFmtId="165" xfId="0" applyAlignment="1" applyFont="1" applyNumberFormat="1">
      <alignment horizontal="center" shrinkToFit="0" vertical="center" wrapText="1"/>
    </xf>
    <xf borderId="0" fillId="0" fontId="19" numFmtId="0" xfId="0" applyAlignment="1" applyFont="1">
      <alignment horizontal="center" readingOrder="0"/>
    </xf>
    <xf borderId="1" fillId="0" fontId="18" numFmtId="165" xfId="0" applyAlignment="1" applyBorder="1" applyFont="1" applyNumberFormat="1">
      <alignment horizontal="center" shrinkToFit="0" vertical="center" wrapText="1"/>
    </xf>
    <xf borderId="0" fillId="3" fontId="20" numFmtId="0" xfId="0" applyFill="1" applyFont="1"/>
    <xf borderId="0" fillId="3" fontId="21" numFmtId="10" xfId="0" applyAlignment="1" applyFont="1" applyNumberFormat="1">
      <alignment horizontal="center" vertical="center"/>
    </xf>
    <xf borderId="2" fillId="4" fontId="22" numFmtId="10" xfId="0" applyAlignment="1" applyBorder="1" applyFill="1" applyFont="1" applyNumberFormat="1">
      <alignment horizontal="center" vertical="center"/>
    </xf>
    <xf borderId="3" fillId="0" fontId="23" numFmtId="0" xfId="0" applyBorder="1" applyFont="1"/>
    <xf borderId="0" fillId="3" fontId="22" numFmtId="3" xfId="0" applyAlignment="1" applyFont="1" applyNumberFormat="1">
      <alignment horizontal="center"/>
    </xf>
    <xf borderId="2" fillId="4" fontId="22" numFmtId="166" xfId="0" applyAlignment="1" applyBorder="1" applyFont="1" applyNumberFormat="1">
      <alignment horizontal="center" vertical="center"/>
    </xf>
    <xf borderId="2" fillId="4" fontId="22" numFmtId="165" xfId="0" applyAlignment="1" applyBorder="1" applyFont="1" applyNumberFormat="1">
      <alignment horizontal="center" vertical="center"/>
    </xf>
    <xf borderId="2" fillId="4" fontId="24" numFmtId="10" xfId="0" applyAlignment="1" applyBorder="1" applyFont="1" applyNumberFormat="1">
      <alignment horizontal="center" vertical="center"/>
    </xf>
    <xf borderId="4" fillId="0" fontId="23" numFmtId="0" xfId="0" applyBorder="1" applyFont="1"/>
    <xf borderId="5" fillId="0" fontId="23" numFmtId="0" xfId="0" applyBorder="1" applyFont="1"/>
    <xf borderId="0" fillId="3" fontId="25" numFmtId="0" xfId="0" applyAlignment="1" applyFont="1">
      <alignment horizontal="center" readingOrder="0"/>
    </xf>
    <xf borderId="6" fillId="4" fontId="26" numFmtId="0" xfId="0" applyAlignment="1" applyBorder="1" applyFont="1">
      <alignment horizontal="center" readingOrder="0"/>
    </xf>
    <xf borderId="7" fillId="0" fontId="23" numFmtId="0" xfId="0" applyBorder="1" applyFont="1"/>
    <xf borderId="0" fillId="3" fontId="27" numFmtId="0" xfId="0" applyFont="1"/>
    <xf borderId="6" fillId="4" fontId="28" numFmtId="0" xfId="0" applyAlignment="1" applyBorder="1" applyFont="1">
      <alignment horizontal="center" readingOrder="0"/>
    </xf>
    <xf borderId="0" fillId="3" fontId="3" numFmtId="0" xfId="0" applyFont="1"/>
    <xf borderId="0" fillId="0" fontId="29" numFmtId="0" xfId="0" applyAlignment="1" applyFont="1">
      <alignment horizontal="center" readingOrder="0"/>
    </xf>
    <xf borderId="0" fillId="0" fontId="20" numFmtId="167" xfId="0" applyAlignment="1" applyFont="1" applyNumberFormat="1">
      <alignment readingOrder="0"/>
    </xf>
    <xf borderId="0" fillId="0" fontId="20" numFmtId="167" xfId="0" applyFont="1" applyNumberFormat="1"/>
    <xf borderId="0" fillId="0" fontId="20" numFmtId="168" xfId="0" applyFont="1" applyNumberFormat="1"/>
    <xf borderId="0" fillId="0" fontId="20" numFmtId="169" xfId="0" applyFont="1" applyNumberFormat="1"/>
    <xf borderId="0" fillId="0" fontId="20" numFmtId="165" xfId="0" applyFont="1" applyNumberFormat="1"/>
    <xf borderId="0" fillId="0" fontId="20" numFmtId="0" xfId="0" applyFont="1"/>
    <xf borderId="0" fillId="0" fontId="30" numFmtId="169" xfId="0" applyFont="1" applyNumberFormat="1"/>
    <xf borderId="0" fillId="0" fontId="31" numFmtId="0" xfId="0" applyAlignment="1" applyFont="1">
      <alignment readingOrder="0"/>
    </xf>
    <xf borderId="0" fillId="0" fontId="32" numFmtId="0" xfId="0" applyAlignment="1" applyFont="1">
      <alignment horizontal="center" readingOrder="0"/>
    </xf>
    <xf borderId="0" fillId="0" fontId="33" numFmtId="0" xfId="0" applyAlignment="1" applyFont="1">
      <alignment horizontal="center" readingOrder="0"/>
    </xf>
    <xf borderId="0" fillId="0" fontId="34" numFmtId="0" xfId="0" applyFont="1"/>
    <xf borderId="0" fillId="0" fontId="35" numFmtId="0" xfId="0" applyAlignment="1" applyFont="1">
      <alignment horizontal="center" readingOrder="0"/>
    </xf>
    <xf borderId="0" fillId="0" fontId="33" numFmtId="0" xfId="0" applyFont="1"/>
    <xf borderId="0" fillId="0" fontId="33" numFmtId="0" xfId="0" applyAlignment="1" applyFont="1">
      <alignment horizontal="center"/>
    </xf>
    <xf borderId="0" fillId="0" fontId="36" numFmtId="0" xfId="0" applyAlignment="1" applyFont="1">
      <alignment readingOrder="0"/>
    </xf>
    <xf borderId="0" fillId="0" fontId="34" numFmtId="0" xfId="0" applyAlignment="1" applyFont="1">
      <alignment readingOrder="0"/>
    </xf>
    <xf borderId="0" fillId="0" fontId="34" numFmtId="0" xfId="0" applyAlignment="1" applyFont="1">
      <alignment horizontal="left" readingOrder="0"/>
    </xf>
    <xf borderId="0" fillId="0" fontId="34" numFmtId="169" xfId="0" applyFont="1" applyNumberFormat="1"/>
    <xf borderId="0" fillId="0" fontId="37" numFmtId="169" xfId="0" applyAlignment="1" applyFont="1" applyNumberFormat="1">
      <alignment readingOrder="0"/>
    </xf>
    <xf borderId="0" fillId="0" fontId="34" numFmtId="167" xfId="0" applyFont="1" applyNumberFormat="1"/>
    <xf borderId="0" fillId="0" fontId="37" numFmtId="167" xfId="0" applyAlignment="1" applyFont="1" applyNumberFormat="1">
      <alignment readingOrder="0"/>
    </xf>
    <xf borderId="0" fillId="0" fontId="34" numFmtId="10" xfId="0" applyFont="1" applyNumberFormat="1"/>
    <xf borderId="0" fillId="0" fontId="34" numFmtId="3" xfId="0" applyFont="1" applyNumberFormat="1"/>
    <xf borderId="0" fillId="0" fontId="34" numFmtId="168" xfId="0" applyFont="1" applyNumberFormat="1"/>
    <xf borderId="0" fillId="0" fontId="20" numFmtId="3" xfId="0" applyFont="1" applyNumberFormat="1"/>
    <xf borderId="0" fillId="0" fontId="38" numFmtId="0" xfId="0" applyAlignment="1" applyFont="1">
      <alignment horizontal="center"/>
    </xf>
    <xf borderId="0" fillId="0" fontId="30" numFmtId="0" xfId="0" applyAlignment="1" applyFont="1">
      <alignment horizontal="center"/>
    </xf>
    <xf borderId="0" fillId="0" fontId="39" numFmtId="0" xfId="0" applyAlignment="1" applyFont="1">
      <alignment readingOrder="0"/>
    </xf>
    <xf borderId="0" fillId="0" fontId="30" numFmtId="0" xfId="0" applyFont="1"/>
    <xf borderId="0" fillId="0" fontId="40" numFmtId="3" xfId="0" applyFont="1" applyNumberFormat="1"/>
    <xf borderId="0" fillId="0" fontId="41" numFmtId="3" xfId="0" applyFont="1" applyNumberFormat="1"/>
    <xf borderId="0" fillId="0" fontId="30" numFmtId="3" xfId="0" applyFont="1" applyNumberFormat="1"/>
    <xf borderId="0" fillId="0" fontId="30" numFmtId="0" xfId="0" applyAlignment="1" applyFont="1">
      <alignment horizontal="right"/>
    </xf>
    <xf borderId="0" fillId="0" fontId="30" numFmtId="167" xfId="0" applyFont="1" applyNumberFormat="1"/>
    <xf borderId="0" fillId="0" fontId="30" numFmtId="167" xfId="0" applyAlignment="1" applyFont="1" applyNumberFormat="1">
      <alignment horizontal="right"/>
    </xf>
    <xf borderId="0" fillId="0" fontId="30" numFmtId="0" xfId="0" applyAlignment="1" applyFont="1">
      <alignment readingOrder="0"/>
    </xf>
    <xf borderId="0" fillId="0" fontId="30" numFmtId="167" xfId="0" applyFont="1" applyNumberFormat="1"/>
    <xf borderId="0" fillId="0" fontId="30" numFmtId="3" xfId="0" applyAlignment="1" applyFont="1" applyNumberFormat="1">
      <alignment horizontal="right"/>
    </xf>
    <xf borderId="0" fillId="0" fontId="40" numFmtId="3" xfId="0" applyAlignment="1" applyFont="1" applyNumberFormat="1">
      <alignment horizontal="right"/>
    </xf>
    <xf borderId="0" fillId="0" fontId="41" numFmtId="3" xfId="0" applyAlignment="1" applyFont="1" applyNumberFormat="1">
      <alignment horizontal="center" readingOrder="0"/>
    </xf>
    <xf borderId="0" fillId="0" fontId="41" numFmtId="167" xfId="0" applyAlignment="1" applyFont="1" applyNumberFormat="1">
      <alignment horizontal="center" readingOrder="0"/>
    </xf>
    <xf borderId="0" fillId="0" fontId="30" numFmtId="166" xfId="0" applyFont="1" applyNumberFormat="1"/>
    <xf borderId="0" fillId="0" fontId="3" numFmtId="0" xfId="0" applyAlignment="1" applyFont="1">
      <alignment horizontal="center" readingOrder="0"/>
    </xf>
    <xf borderId="0" fillId="0" fontId="42" numFmtId="167" xfId="0" applyFont="1" applyNumberFormat="1"/>
    <xf borderId="0" fillId="0" fontId="40" numFmtId="167" xfId="0" applyFont="1" applyNumberFormat="1"/>
    <xf borderId="0" fillId="0" fontId="30" numFmtId="166" xfId="0" applyFont="1" applyNumberFormat="1"/>
    <xf borderId="0" fillId="0" fontId="30" numFmtId="165" xfId="0" applyFont="1" applyNumberFormat="1"/>
    <xf borderId="0" fillId="0" fontId="43" numFmtId="167" xfId="0" applyAlignment="1" applyFont="1" applyNumberFormat="1">
      <alignment readingOrder="0"/>
    </xf>
    <xf borderId="0" fillId="0" fontId="30" numFmtId="10" xfId="0" applyAlignment="1" applyFont="1" applyNumberFormat="1">
      <alignment horizontal="right"/>
    </xf>
    <xf borderId="0" fillId="0" fontId="30" numFmtId="10" xfId="0" applyFont="1" applyNumberFormat="1"/>
    <xf borderId="0" fillId="0" fontId="40" numFmtId="167" xfId="0" applyAlignment="1" applyFont="1" applyNumberFormat="1">
      <alignment horizontal="right"/>
    </xf>
    <xf borderId="0" fillId="0" fontId="40" numFmtId="167" xfId="0" applyAlignment="1" applyFont="1" applyNumberFormat="1">
      <alignment horizontal="right" readingOrder="0"/>
    </xf>
    <xf borderId="0" fillId="0" fontId="30" numFmtId="167" xfId="0" applyAlignment="1" applyFont="1" applyNumberFormat="1">
      <alignment horizontal="right" readingOrder="0"/>
    </xf>
    <xf borderId="0" fillId="0" fontId="30" numFmtId="10" xfId="0" applyAlignment="1" applyFont="1" applyNumberFormat="1">
      <alignment horizontal="right" readingOrder="0"/>
    </xf>
    <xf borderId="8" fillId="0" fontId="44" numFmtId="167" xfId="0" applyAlignment="1" applyBorder="1" applyFont="1" applyNumberFormat="1">
      <alignment horizontal="right" readingOrder="0"/>
    </xf>
    <xf borderId="8" fillId="0" fontId="45" numFmtId="167" xfId="0" applyAlignment="1" applyBorder="1" applyFont="1" applyNumberFormat="1">
      <alignment readingOrder="0"/>
    </xf>
    <xf borderId="8" fillId="0" fontId="38" numFmtId="167" xfId="0" applyAlignment="1" applyBorder="1" applyFont="1" applyNumberFormat="1">
      <alignment horizontal="right"/>
    </xf>
    <xf borderId="8" fillId="0" fontId="38" numFmtId="167" xfId="0" applyBorder="1" applyFont="1" applyNumberFormat="1"/>
    <xf borderId="0" fillId="0" fontId="46" numFmtId="0" xfId="0" applyFont="1"/>
    <xf borderId="8" fillId="0" fontId="46" numFmtId="168" xfId="0" applyBorder="1" applyFont="1" applyNumberFormat="1"/>
    <xf borderId="8" fillId="0" fontId="46" numFmtId="169" xfId="0" applyBorder="1" applyFont="1" applyNumberFormat="1"/>
    <xf borderId="0" fillId="0" fontId="20" numFmtId="166" xfId="0" applyFont="1" applyNumberFormat="1"/>
    <xf borderId="0" fillId="0" fontId="20" numFmtId="166" xfId="0" applyAlignment="1" applyFont="1" applyNumberFormat="1">
      <alignment readingOrder="0"/>
    </xf>
    <xf borderId="0" fillId="0" fontId="20" numFmtId="166" xfId="0" applyFont="1" applyNumberFormat="1"/>
    <xf borderId="0" fillId="0" fontId="47" numFmtId="165" xfId="0" applyAlignment="1" applyFont="1" applyNumberFormat="1">
      <alignment horizontal="left" readingOrder="0"/>
    </xf>
    <xf borderId="0" fillId="0" fontId="46" numFmtId="0" xfId="0" applyAlignment="1" applyFont="1">
      <alignment horizontal="center" readingOrder="0"/>
    </xf>
    <xf borderId="0" fillId="0" fontId="39" numFmtId="0" xfId="0" applyAlignment="1" applyFont="1">
      <alignment horizontal="center"/>
    </xf>
    <xf borderId="0" fillId="0" fontId="46" numFmtId="167" xfId="0" applyAlignment="1" applyFont="1" applyNumberFormat="1">
      <alignment horizontal="center"/>
    </xf>
    <xf borderId="0" fillId="0" fontId="46" numFmtId="167" xfId="0" applyAlignment="1" applyFont="1" applyNumberFormat="1">
      <alignment horizontal="center" readingOrder="0"/>
    </xf>
    <xf borderId="0" fillId="0" fontId="39" numFmtId="0" xfId="0" applyAlignment="1" applyFont="1">
      <alignment horizontal="center" readingOrder="0"/>
    </xf>
    <xf borderId="0" fillId="0" fontId="39" numFmtId="167" xfId="0" applyAlignment="1" applyFont="1" applyNumberFormat="1">
      <alignment horizontal="center" readingOrder="0"/>
    </xf>
    <xf borderId="0" fillId="0" fontId="3" numFmtId="167" xfId="0" applyFont="1" applyNumberFormat="1"/>
    <xf borderId="0" fillId="0" fontId="3" numFmtId="165" xfId="0" applyFont="1" applyNumberFormat="1"/>
    <xf borderId="0" fillId="0" fontId="46" numFmtId="165" xfId="0" applyAlignment="1" applyFont="1" applyNumberFormat="1">
      <alignment readingOrder="0"/>
    </xf>
    <xf borderId="8" fillId="0" fontId="39" numFmtId="167" xfId="0" applyBorder="1" applyFont="1" applyNumberFormat="1"/>
    <xf borderId="0" fillId="0" fontId="38" numFmtId="0" xfId="0" applyAlignment="1" applyFont="1">
      <alignment horizontal="right"/>
    </xf>
    <xf borderId="0" fillId="0" fontId="48" numFmtId="0" xfId="0" applyAlignment="1" applyFont="1">
      <alignment horizontal="left"/>
    </xf>
    <xf borderId="0" fillId="0" fontId="49" numFmtId="0" xfId="0" applyFont="1"/>
    <xf borderId="0" fillId="0" fontId="38" numFmtId="0" xfId="0" applyFont="1"/>
    <xf borderId="0" fillId="0" fontId="20" numFmtId="0" xfId="0" applyAlignment="1" applyFont="1">
      <alignment readingOrder="0"/>
    </xf>
    <xf borderId="0" fillId="0" fontId="40" numFmtId="9" xfId="0" applyFont="1" applyNumberFormat="1"/>
    <xf borderId="0" fillId="0" fontId="40" numFmtId="166" xfId="0" applyFont="1" applyNumberFormat="1"/>
    <xf borderId="0" fillId="0" fontId="30" numFmtId="0" xfId="0" applyAlignment="1" applyFont="1">
      <alignment horizontal="left"/>
    </xf>
    <xf borderId="0" fillId="0" fontId="3" numFmtId="166" xfId="0" applyAlignment="1" applyFont="1" applyNumberFormat="1">
      <alignment horizontal="right"/>
    </xf>
    <xf borderId="0" fillId="0" fontId="40" numFmtId="10" xfId="0" applyFont="1" applyNumberFormat="1"/>
    <xf borderId="0" fillId="0" fontId="42" numFmtId="165" xfId="0" applyAlignment="1" applyFont="1" applyNumberFormat="1">
      <alignment horizontal="right"/>
    </xf>
    <xf borderId="0" fillId="0" fontId="42" numFmtId="9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42" numFmtId="166" xfId="0" applyAlignment="1" applyFont="1" applyNumberFormat="1">
      <alignment horizontal="right"/>
    </xf>
    <xf borderId="0" fillId="0" fontId="3" numFmtId="166" xfId="0" applyFont="1" applyNumberFormat="1"/>
    <xf borderId="0" fillId="0" fontId="40" numFmtId="166" xfId="0" applyAlignment="1" applyFont="1" applyNumberFormat="1">
      <alignment horizontal="right"/>
    </xf>
    <xf borderId="0" fillId="0" fontId="40" numFmtId="165" xfId="0" applyFont="1" applyNumberFormat="1"/>
    <xf borderId="0" fillId="0" fontId="40" numFmtId="170" xfId="0" applyFont="1" applyNumberFormat="1"/>
    <xf borderId="0" fillId="0" fontId="41" numFmtId="0" xfId="0" applyFont="1"/>
    <xf borderId="0" fillId="0" fontId="41" numFmtId="0" xfId="0" applyAlignment="1" applyFont="1">
      <alignment horizontal="left"/>
    </xf>
    <xf borderId="0" fillId="0" fontId="41" numFmtId="10" xfId="0" applyFont="1" applyNumberFormat="1"/>
    <xf borderId="0" fillId="0" fontId="50" numFmtId="0" xfId="0" applyFont="1"/>
    <xf borderId="0" fillId="0" fontId="41" numFmtId="0" xfId="0" applyAlignment="1" applyFont="1">
      <alignment horizontal="center"/>
    </xf>
    <xf borderId="0" fillId="0" fontId="51" numFmtId="0" xfId="0" applyAlignment="1" applyFont="1">
      <alignment horizontal="right"/>
    </xf>
    <xf borderId="0" fillId="0" fontId="42" numFmtId="3" xfId="0" applyAlignment="1" applyFont="1" applyNumberFormat="1">
      <alignment horizontal="right"/>
    </xf>
    <xf borderId="0" fillId="0" fontId="3" numFmtId="3" xfId="0" applyFont="1" applyNumberFormat="1"/>
    <xf borderId="0" fillId="0" fontId="52" numFmtId="166" xfId="0" applyAlignment="1" applyFont="1" applyNumberFormat="1">
      <alignment readingOrder="0"/>
    </xf>
    <xf borderId="0" fillId="0" fontId="42" numFmtId="10" xfId="0" applyAlignment="1" applyFont="1" applyNumberFormat="1">
      <alignment horizontal="right"/>
    </xf>
    <xf borderId="0" fillId="0" fontId="41" numFmtId="166" xfId="0" applyFont="1" applyNumberFormat="1"/>
    <xf borderId="0" fillId="0" fontId="53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30" numFmtId="2" xfId="0" applyFont="1" applyNumberFormat="1"/>
    <xf borderId="0" fillId="0" fontId="54" numFmtId="0" xfId="0" applyAlignment="1" applyFont="1">
      <alignment horizontal="left"/>
    </xf>
    <xf borderId="0" fillId="0" fontId="55" numFmtId="0" xfId="0" applyAlignment="1" applyFont="1">
      <alignment horizontal="left" readingOrder="0"/>
    </xf>
    <xf borderId="0" fillId="0" fontId="56" numFmtId="0" xfId="0" applyAlignment="1" applyFont="1">
      <alignment horizontal="center"/>
    </xf>
    <xf borderId="0" fillId="0" fontId="30" numFmtId="171" xfId="0" applyFont="1" applyNumberFormat="1"/>
    <xf borderId="0" fillId="0" fontId="30" numFmtId="171" xfId="0" applyAlignment="1" applyFont="1" applyNumberFormat="1">
      <alignment horizontal="center"/>
    </xf>
    <xf borderId="0" fillId="0" fontId="41" numFmtId="171" xfId="0" applyFont="1" applyNumberFormat="1"/>
    <xf borderId="0" fillId="0" fontId="30" numFmtId="169" xfId="0" applyFont="1" applyNumberFormat="1"/>
    <xf borderId="0" fillId="0" fontId="40" numFmtId="42" xfId="0" applyFont="1" applyNumberFormat="1"/>
    <xf borderId="0" fillId="0" fontId="41" numFmtId="167" xfId="0" applyFont="1" applyNumberFormat="1"/>
    <xf borderId="8" fillId="0" fontId="38" numFmtId="171" xfId="0" applyBorder="1" applyFont="1" applyNumberFormat="1"/>
    <xf borderId="8" fillId="0" fontId="38" numFmtId="169" xfId="0" applyBorder="1" applyFont="1" applyNumberFormat="1"/>
    <xf borderId="0" fillId="0" fontId="38" numFmtId="0" xfId="0" applyAlignment="1" applyFont="1">
      <alignment horizontal="left"/>
    </xf>
    <xf borderId="0" fillId="0" fontId="30" numFmtId="167" xfId="0" applyAlignment="1" applyFont="1" applyNumberFormat="1">
      <alignment horizontal="center"/>
    </xf>
    <xf borderId="0" fillId="0" fontId="41" numFmtId="169" xfId="0" applyFont="1" applyNumberFormat="1"/>
    <xf borderId="8" fillId="0" fontId="50" numFmtId="167" xfId="0" applyBorder="1" applyFont="1" applyNumberFormat="1"/>
    <xf borderId="8" fillId="0" fontId="50" numFmtId="169" xfId="0" applyBorder="1" applyFont="1" applyNumberFormat="1"/>
    <xf borderId="0" fillId="0" fontId="41" numFmtId="167" xfId="0" applyAlignment="1" applyFont="1" applyNumberFormat="1">
      <alignment horizontal="center"/>
    </xf>
    <xf borderId="0" fillId="0" fontId="30" numFmtId="0" xfId="0" applyAlignment="1" applyFont="1">
      <alignment horizontal="left" readingOrder="0"/>
    </xf>
    <xf borderId="0" fillId="0" fontId="3" numFmtId="167" xfId="0" applyAlignment="1" applyFont="1" applyNumberFormat="1">
      <alignment horizontal="center"/>
    </xf>
    <xf borderId="8" fillId="0" fontId="50" numFmtId="167" xfId="0" applyBorder="1" applyFont="1" applyNumberFormat="1"/>
    <xf borderId="8" fillId="0" fontId="50" numFmtId="169" xfId="0" applyBorder="1" applyFont="1" applyNumberFormat="1"/>
    <xf borderId="0" fillId="0" fontId="57" numFmtId="0" xfId="0" applyAlignment="1" applyFont="1">
      <alignment horizontal="left"/>
    </xf>
    <xf borderId="8" fillId="0" fontId="38" numFmtId="3" xfId="0" applyBorder="1" applyFont="1" applyNumberFormat="1"/>
    <xf borderId="0" fillId="0" fontId="30" numFmtId="0" xfId="0" applyAlignment="1" applyFont="1">
      <alignment vertical="bottom"/>
    </xf>
    <xf borderId="8" fillId="0" fontId="38" numFmtId="167" xfId="0" applyBorder="1" applyFont="1" applyNumberFormat="1"/>
    <xf borderId="0" fillId="0" fontId="58" numFmtId="0" xfId="0" applyFont="1"/>
    <xf borderId="8" fillId="0" fontId="38" numFmtId="166" xfId="0" applyBorder="1" applyFont="1" applyNumberFormat="1"/>
    <xf borderId="8" fillId="0" fontId="38" numFmtId="166" xfId="0" applyBorder="1" applyFont="1" applyNumberFormat="1"/>
    <xf borderId="0" fillId="0" fontId="38" numFmtId="167" xfId="0" applyAlignment="1" applyFont="1" applyNumberFormat="1">
      <alignment horizontal="center"/>
    </xf>
    <xf borderId="0" fillId="0" fontId="50" numFmtId="167" xfId="0" applyFont="1" applyNumberFormat="1"/>
    <xf borderId="0" fillId="0" fontId="38" numFmtId="167" xfId="0" applyFont="1" applyNumberFormat="1"/>
    <xf borderId="8" fillId="0" fontId="46" numFmtId="167" xfId="0" applyBorder="1" applyFont="1" applyNumberFormat="1"/>
    <xf borderId="0" fillId="0" fontId="3" numFmtId="167" xfId="0" applyAlignment="1" applyFont="1" applyNumberFormat="1">
      <alignment readingOrder="0"/>
    </xf>
    <xf borderId="0" fillId="0" fontId="46" numFmtId="167" xfId="0" applyFont="1" applyNumberFormat="1"/>
    <xf borderId="0" fillId="0" fontId="3" numFmtId="0" xfId="0" applyAlignment="1" applyFont="1">
      <alignment readingOrder="0"/>
    </xf>
    <xf borderId="8" fillId="0" fontId="59" numFmtId="172" xfId="0" applyBorder="1" applyFont="1" applyNumberFormat="1"/>
    <xf borderId="0" fillId="0" fontId="38" numFmtId="165" xfId="0" applyAlignment="1" applyFont="1" applyNumberFormat="1">
      <alignment horizontal="center"/>
    </xf>
    <xf borderId="0" fillId="0" fontId="60" numFmtId="165" xfId="0" applyFont="1" applyNumberFormat="1"/>
    <xf borderId="0" fillId="0" fontId="41" numFmtId="167" xfId="0" applyFont="1" applyNumberFormat="1"/>
    <xf borderId="0" fillId="0" fontId="39" numFmtId="167" xfId="0" applyFont="1" applyNumberFormat="1"/>
    <xf borderId="0" fillId="0" fontId="61" numFmtId="165" xfId="0" applyFont="1" applyNumberFormat="1"/>
    <xf borderId="0" fillId="0" fontId="41" numFmtId="165" xfId="0" applyFont="1" applyNumberFormat="1"/>
    <xf borderId="8" fillId="0" fontId="30" numFmtId="167" xfId="0" applyBorder="1" applyFont="1" applyNumberFormat="1"/>
    <xf borderId="8" fillId="0" fontId="46" numFmtId="165" xfId="0" applyBorder="1" applyFont="1" applyNumberFormat="1"/>
    <xf borderId="0" fillId="0" fontId="50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2" numFmtId="0" xfId="0" applyFont="1"/>
    <xf borderId="0" fillId="0" fontId="46" numFmtId="0" xfId="0" applyAlignment="1" applyFont="1">
      <alignment readingOrder="0"/>
    </xf>
    <xf borderId="8" fillId="0" fontId="46" numFmtId="3" xfId="0" applyBorder="1" applyFont="1" applyNumberFormat="1"/>
    <xf borderId="0" fillId="0" fontId="20" numFmtId="10" xfId="0" applyFont="1" applyNumberFormat="1"/>
    <xf borderId="0" fillId="0" fontId="41" numFmtId="168" xfId="0" applyFont="1" applyNumberFormat="1"/>
    <xf borderId="0" fillId="0" fontId="41" numFmtId="42" xfId="0" applyFont="1" applyNumberFormat="1"/>
    <xf borderId="0" fillId="0" fontId="20" numFmtId="0" xfId="0" applyFont="1"/>
    <xf borderId="0" fillId="0" fontId="30" numFmtId="168" xfId="0" applyFont="1" applyNumberFormat="1"/>
    <xf borderId="0" fillId="0" fontId="41" numFmtId="0" xfId="0" applyAlignment="1" applyFont="1">
      <alignment readingOrder="0"/>
    </xf>
    <xf borderId="8" fillId="0" fontId="38" numFmtId="168" xfId="0" applyBorder="1" applyFont="1" applyNumberFormat="1"/>
    <xf borderId="8" fillId="0" fontId="39" numFmtId="169" xfId="0" applyBorder="1" applyFont="1" applyNumberFormat="1"/>
    <xf borderId="9" fillId="5" fontId="63" numFmtId="0" xfId="0" applyAlignment="1" applyBorder="1" applyFill="1" applyFont="1">
      <alignment horizontal="left"/>
    </xf>
    <xf borderId="9" fillId="5" fontId="63" numFmtId="0" xfId="0" applyAlignment="1" applyBorder="1" applyFont="1">
      <alignment horizontal="center"/>
    </xf>
    <xf borderId="9" fillId="0" fontId="5" numFmtId="1" xfId="0" applyAlignment="1" applyBorder="1" applyFont="1" applyNumberFormat="1">
      <alignment vertical="bottom"/>
    </xf>
    <xf borderId="9" fillId="6" fontId="64" numFmtId="0" xfId="0" applyAlignment="1" applyBorder="1" applyFill="1" applyFont="1">
      <alignment horizontal="right" vertical="bottom"/>
    </xf>
    <xf borderId="0" fillId="0" fontId="41" numFmtId="1" xfId="0" applyFont="1" applyNumberFormat="1"/>
    <xf borderId="9" fillId="0" fontId="5" numFmtId="0" xfId="0" applyAlignment="1" applyBorder="1" applyFont="1">
      <alignment vertical="bottom"/>
    </xf>
    <xf borderId="9" fillId="0" fontId="65" numFmtId="0" xfId="0" applyAlignment="1" applyBorder="1" applyFont="1">
      <alignment vertical="bottom"/>
    </xf>
    <xf borderId="9" fillId="0" fontId="66" numFmtId="0" xfId="0" applyAlignment="1" applyBorder="1" applyFont="1">
      <alignment vertical="bottom"/>
    </xf>
    <xf borderId="9" fillId="7" fontId="66" numFmtId="166" xfId="0" applyAlignment="1" applyBorder="1" applyFill="1" applyFont="1" applyNumberFormat="1">
      <alignment horizontal="right" vertical="bottom"/>
    </xf>
    <xf borderId="0" fillId="0" fontId="40" numFmtId="2" xfId="0" applyFont="1" applyNumberFormat="1"/>
    <xf borderId="8" fillId="0" fontId="50" numFmtId="10" xfId="0" applyBorder="1" applyFont="1" applyNumberFormat="1"/>
    <xf borderId="0" fillId="0" fontId="40" numFmtId="173" xfId="0" applyFont="1" applyNumberFormat="1"/>
    <xf borderId="0" fillId="0" fontId="41" numFmtId="2" xfId="0" applyFont="1" applyNumberFormat="1"/>
    <xf borderId="0" fillId="0" fontId="67" numFmtId="0" xfId="0" applyFont="1"/>
    <xf borderId="0" fillId="0" fontId="50" numFmtId="10" xfId="0" applyFont="1" applyNumberFormat="1"/>
    <xf borderId="0" fillId="8" fontId="41" numFmtId="169" xfId="0" applyFill="1" applyFont="1" applyNumberFormat="1"/>
    <xf borderId="0" fillId="0" fontId="30" numFmtId="1" xfId="0" applyAlignment="1" applyFont="1" applyNumberForma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165" xfId="0" applyAlignment="1" applyFont="1" applyNumberFormat="1">
      <alignment horizontal="right" vertical="bottom"/>
    </xf>
    <xf borderId="0" fillId="5" fontId="56" numFmtId="0" xfId="0" applyAlignment="1" applyFont="1">
      <alignment horizontal="left" readingOrder="0"/>
    </xf>
    <xf borderId="0" fillId="5" fontId="56" numFmtId="0" xfId="0" applyAlignment="1" applyFont="1">
      <alignment horizontal="center"/>
    </xf>
    <xf borderId="0" fillId="3" fontId="56" numFmtId="0" xfId="0" applyAlignment="1" applyFont="1">
      <alignment horizontal="left" readingOrder="0"/>
    </xf>
    <xf borderId="9" fillId="9" fontId="42" numFmtId="165" xfId="0" applyAlignment="1" applyBorder="1" applyFill="1" applyFont="1" applyNumberFormat="1">
      <alignment readingOrder="0"/>
    </xf>
    <xf borderId="0" fillId="0" fontId="3" numFmtId="165" xfId="0" applyFont="1" applyNumberFormat="1"/>
    <xf borderId="0" fillId="0" fontId="30" numFmtId="165" xfId="0" applyAlignment="1" applyFont="1" applyNumberFormat="1">
      <alignment readingOrder="0"/>
    </xf>
    <xf borderId="0" fillId="0" fontId="30" numFmtId="170" xfId="0" applyFont="1" applyNumberFormat="1"/>
    <xf borderId="0" fillId="0" fontId="46" numFmtId="165" xfId="0" applyFont="1" applyNumberFormat="1"/>
    <xf borderId="0" fillId="0" fontId="68" numFmtId="0" xfId="0" applyAlignment="1" applyFont="1">
      <alignment readingOrder="0"/>
    </xf>
    <xf borderId="0" fillId="0" fontId="30" numFmtId="9" xfId="0" applyFont="1" applyNumberFormat="1"/>
    <xf borderId="0" fillId="0" fontId="69" numFmtId="0" xfId="0" applyAlignment="1" applyFont="1">
      <alignment readingOrder="0"/>
    </xf>
    <xf borderId="0" fillId="0" fontId="38" numFmtId="165" xfId="0" applyFont="1" applyNumberFormat="1"/>
    <xf borderId="0" fillId="5" fontId="56" numFmtId="0" xfId="0" applyAlignment="1" applyFont="1">
      <alignment horizontal="left"/>
    </xf>
    <xf borderId="9" fillId="9" fontId="42" numFmtId="0" xfId="0" applyAlignment="1" applyBorder="1" applyFont="1">
      <alignment readingOrder="0"/>
    </xf>
    <xf borderId="10" fillId="9" fontId="40" numFmtId="3" xfId="0" applyAlignment="1" applyBorder="1" applyFont="1" applyNumberFormat="1">
      <alignment readingOrder="0"/>
    </xf>
    <xf borderId="10" fillId="9" fontId="40" numFmtId="3" xfId="0" applyAlignment="1" applyBorder="1" applyFont="1" applyNumberFormat="1">
      <alignment horizontal="right" readingOrder="0"/>
    </xf>
    <xf borderId="0" fillId="0" fontId="30" numFmtId="3" xfId="0" applyAlignment="1" applyFont="1" applyNumberFormat="1">
      <alignment horizontal="right" readingOrder="0"/>
    </xf>
    <xf borderId="10" fillId="9" fontId="40" numFmtId="165" xfId="0" applyAlignment="1" applyBorder="1" applyFont="1" applyNumberFormat="1">
      <alignment horizontal="right" readingOrder="0"/>
    </xf>
    <xf borderId="0" fillId="0" fontId="30" numFmtId="165" xfId="0" applyAlignment="1" applyFont="1" applyNumberFormat="1">
      <alignment horizontal="right"/>
    </xf>
    <xf borderId="0" fillId="0" fontId="68" numFmtId="0" xfId="0" applyFont="1"/>
    <xf borderId="10" fillId="9" fontId="40" numFmtId="165" xfId="0" applyAlignment="1" applyBorder="1" applyFont="1" applyNumberFormat="1">
      <alignment readingOrder="0"/>
    </xf>
    <xf borderId="0" fillId="0" fontId="20" numFmtId="165" xfId="0" applyFont="1" applyNumberFormat="1"/>
    <xf borderId="0" fillId="0" fontId="39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'1. Executive Dashboard'!$G$103</c:f>
            </c:strRef>
          </c:tx>
          <c:spPr>
            <a:solidFill>
              <a:srgbClr val="1A365D"/>
            </a:solidFill>
            <a:ln cmpd="sng">
              <a:noFill/>
            </a:ln>
          </c:spPr>
          <c:cat>
            <c:strRef>
              <c:f>'1. Executive Dashboard'!$F$104:$F$114</c:f>
            </c:strRef>
          </c:cat>
          <c:val>
            <c:numRef>
              <c:f>'1. Executive Dashboard'!$G$104:$G$114</c:f>
              <c:numCache/>
            </c:numRef>
          </c:val>
        </c:ser>
        <c:axId val="1816544532"/>
        <c:axId val="928871096"/>
      </c:barChart>
      <c:catAx>
        <c:axId val="1816544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928871096"/>
      </c:catAx>
      <c:valAx>
        <c:axId val="928871096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816544532"/>
      </c:valAx>
      <c:barChart>
        <c:barDir val="col"/>
        <c:ser>
          <c:idx val="1"/>
          <c:order val="1"/>
          <c:tx>
            <c:strRef>
              <c:f>'1. Executive Dashboard'!$H$103</c:f>
            </c:strRef>
          </c:tx>
          <c:spPr>
            <a:solidFill>
              <a:srgbClr val="00A3C4"/>
            </a:solidFill>
            <a:ln cmpd="sng">
              <a:noFill/>
            </a:ln>
          </c:spPr>
          <c:dPt>
            <c:idx val="5"/>
          </c:dPt>
          <c:dPt>
            <c:idx val="10"/>
          </c:dPt>
          <c:cat>
            <c:strRef>
              <c:f>'1. Executive Dashboard'!$F$104:$F$114</c:f>
            </c:strRef>
          </c:cat>
          <c:val>
            <c:numRef>
              <c:f>'1. Executive Dashboard'!$H$104:$H$114</c:f>
              <c:numCache/>
            </c:numRef>
          </c:val>
        </c:ser>
        <c:axId val="840501585"/>
        <c:axId val="636047145"/>
      </c:barChart>
      <c:catAx>
        <c:axId val="8405015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636047145"/>
      </c:catAx>
      <c:valAx>
        <c:axId val="63604714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840501585"/>
        <c:crosses val="max"/>
      </c:valAx>
    </c:plotArea>
    <c:legend>
      <c:legendPos val="r"/>
      <c:legendEntry>
        <c:idx val="0"/>
        <c:txPr>
          <a:bodyPr/>
          <a:lstStyle/>
          <a:p>
            <a:pPr lvl="0">
              <a:defRPr>
                <a:solidFill>
                  <a:srgbClr val="1A365D"/>
                </a:solidFill>
              </a:defRPr>
            </a:pPr>
          </a:p>
        </c:txPr>
      </c:legendEntry>
      <c:overlay val="0"/>
      <c:txPr>
        <a:bodyPr/>
        <a:lstStyle/>
        <a:p>
          <a:pPr lvl="0">
            <a:defRPr b="0" sz="1600">
              <a:solidFill>
                <a:srgbClr val="000000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'1. Executive Dashboard'!$K$102:$K$103</c:f>
            </c:strRef>
          </c:tx>
          <c:spPr>
            <a:solidFill>
              <a:srgbClr val="1A73E8"/>
            </a:solidFill>
            <a:ln cmpd="sng">
              <a:noFill/>
            </a:ln>
          </c:spPr>
          <c:dPt>
            <c:idx val="2"/>
          </c:dPt>
          <c:cat>
            <c:strRef>
              <c:f>'1. Executive Dashboard'!$J$104:$J$114</c:f>
            </c:strRef>
          </c:cat>
          <c:val>
            <c:numRef>
              <c:f>'1. Executive Dashboard'!$K$104:$K$114</c:f>
              <c:numCache/>
            </c:numRef>
          </c:val>
        </c:ser>
        <c:axId val="958878942"/>
        <c:axId val="1064894777"/>
      </c:barChart>
      <c:catAx>
        <c:axId val="958878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064894777"/>
      </c:catAx>
      <c:valAx>
        <c:axId val="10648947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958878942"/>
      </c:valAx>
      <c:barChart>
        <c:barDir val="col"/>
        <c:ser>
          <c:idx val="1"/>
          <c:order val="1"/>
          <c:tx>
            <c:strRef>
              <c:f>'1. Executive Dashboard'!$L$102:$L$103</c:f>
            </c:strRef>
          </c:tx>
          <c:spPr>
            <a:solidFill>
              <a:srgbClr val="D93025"/>
            </a:solidFill>
            <a:ln cmpd="sng">
              <a:noFill/>
            </a:ln>
          </c:spPr>
          <c:cat>
            <c:strRef>
              <c:f>'1. Executive Dashboard'!$J$104:$J$114</c:f>
            </c:strRef>
          </c:cat>
          <c:val>
            <c:numRef>
              <c:f>'1. Executive Dashboard'!$L$104:$L$114</c:f>
              <c:numCache/>
            </c:numRef>
          </c:val>
        </c:ser>
        <c:axId val="1437174635"/>
        <c:axId val="1459697204"/>
      </c:barChart>
      <c:catAx>
        <c:axId val="1437174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459697204"/>
      </c:catAx>
      <c:valAx>
        <c:axId val="145969720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437174635"/>
        <c:crosses val="max"/>
      </c:valAx>
    </c:plotArea>
    <c:legend>
      <c:legendPos val="r"/>
      <c:legendEntry>
        <c:idx val="1"/>
        <c:txPr>
          <a:bodyPr/>
          <a:lstStyle/>
          <a:p>
            <a:pPr lvl="0">
              <a:defRPr b="0"/>
            </a:pPr>
          </a:p>
        </c:txPr>
      </c:legendEntry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'1. Executive Dashboard'!$O$102:$O$103</c:f>
            </c:strRef>
          </c:tx>
          <c:spPr>
            <a:solidFill>
              <a:schemeClr val="accent1"/>
            </a:solidFill>
            <a:ln cmpd="sng">
              <a:noFill/>
            </a:ln>
          </c:spPr>
          <c:dPt>
            <c:idx val="10"/>
          </c:dPt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'1. Executive Dashboard'!$N$104:$N$114</c:f>
            </c:strRef>
          </c:cat>
          <c:val>
            <c:numRef>
              <c:f>'1. Executive Dashboard'!$O$104:$O$114</c:f>
              <c:numCache/>
            </c:numRef>
          </c:val>
        </c:ser>
        <c:axId val="885604314"/>
        <c:axId val="400727509"/>
      </c:barChart>
      <c:catAx>
        <c:axId val="885604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400727509"/>
      </c:catAx>
      <c:valAx>
        <c:axId val="4007275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885604314"/>
      </c:valAx>
      <c:lineChart>
        <c:varyColors val="0"/>
        <c:ser>
          <c:idx val="1"/>
          <c:order val="1"/>
          <c:tx>
            <c:strRef>
              <c:f>'1. Executive Dashboard'!$P$102:$P$103</c:f>
            </c:strRef>
          </c:tx>
          <c:spPr>
            <a:ln cmpd="sng">
              <a:solidFill>
                <a:srgbClr val="D93025">
                  <a:alpha val="100000"/>
                </a:srgbClr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'1. Executive Dashboard'!$N$104:$N$114</c:f>
            </c:strRef>
          </c:cat>
          <c:val>
            <c:numRef>
              <c:f>'1. Executive Dashboard'!$P$104:$P$114</c:f>
              <c:numCache/>
            </c:numRef>
          </c:val>
          <c:smooth val="0"/>
        </c:ser>
        <c:axId val="286418717"/>
        <c:axId val="1691488605"/>
      </c:lineChart>
      <c:catAx>
        <c:axId val="28641871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691488605"/>
      </c:catAx>
      <c:valAx>
        <c:axId val="169148860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286418717"/>
        <c:crosses val="max"/>
      </c:valAx>
    </c:plotArea>
    <c:legend>
      <c:legendPos val="r"/>
      <c:legendEntry>
        <c:idx val="1"/>
        <c:txPr>
          <a:bodyPr/>
          <a:lstStyle/>
          <a:p>
            <a:pPr lvl="0">
              <a:defRPr sz="1600"/>
            </a:pPr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1"/>
          <c:order val="1"/>
          <c:tx>
            <c:strRef>
              <c:f>'1. Executive Dashboard'!$T$102:$T$103</c:f>
            </c:strRef>
          </c:tx>
          <c:spPr>
            <a:solidFill>
              <a:srgbClr val="5F6368"/>
            </a:solidFill>
            <a:ln cmpd="sng">
              <a:noFill/>
            </a:ln>
          </c:spPr>
          <c:dPt>
            <c:idx val="7"/>
          </c:dPt>
          <c:cat>
            <c:strRef>
              <c:f>'1. Executive Dashboard'!$R$104:$R$114</c:f>
            </c:strRef>
          </c:cat>
          <c:val>
            <c:numRef>
              <c:f>'1. Executive Dashboard'!$T$104:$T$114</c:f>
              <c:numCache/>
            </c:numRef>
          </c:val>
        </c:ser>
        <c:overlap val="100"/>
        <c:axId val="991223013"/>
        <c:axId val="140921244"/>
      </c:barChart>
      <c:catAx>
        <c:axId val="991223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40921244"/>
      </c:catAx>
      <c:valAx>
        <c:axId val="140921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991223013"/>
      </c:valAx>
      <c:barChart>
        <c:barDir val="col"/>
        <c:grouping val="stacked"/>
        <c:ser>
          <c:idx val="0"/>
          <c:order val="0"/>
          <c:tx>
            <c:strRef>
              <c:f>'1. Executive Dashboard'!$S$102:$S$103</c:f>
            </c:strRef>
          </c:tx>
          <c:spPr>
            <a:solidFill>
              <a:srgbClr val="1A73E8"/>
            </a:solidFill>
            <a:ln cmpd="sng">
              <a:noFill/>
            </a:ln>
          </c:spPr>
          <c:dPt>
            <c:idx val="9"/>
            <c:spPr>
              <a:solidFill>
                <a:srgbClr val="1A73E8"/>
              </a:solidFill>
              <a:ln cmpd="sng">
                <a:noFill/>
              </a:ln>
            </c:spPr>
          </c:dPt>
          <c:dPt>
            <c:idx val="10"/>
          </c:dPt>
          <c:cat>
            <c:strRef>
              <c:f>'1. Executive Dashboard'!$R$104:$R$114</c:f>
            </c:strRef>
          </c:cat>
          <c:val>
            <c:numRef>
              <c:f>'1. Executive Dashboard'!$S$104:$S$114</c:f>
              <c:numCache/>
            </c:numRef>
          </c:val>
        </c:ser>
        <c:overlap val="100"/>
        <c:axId val="435003638"/>
        <c:axId val="1607688389"/>
      </c:barChart>
      <c:catAx>
        <c:axId val="435003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607688389"/>
      </c:catAx>
      <c:valAx>
        <c:axId val="160768838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435003638"/>
        <c:crosses val="max"/>
      </c:valAx>
    </c:plotArea>
    <c:legend>
      <c:legendPos val="r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Monthly Income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FF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'1. Executive Dashboard'!$C$103:$C$115</c:f>
            </c:strRef>
          </c:cat>
          <c:val>
            <c:numRef>
              <c:f>'1. Executive Dashboard'!$D$103:$D$115</c:f>
              <c:numCache/>
            </c:numRef>
          </c:val>
          <c:smooth val="0"/>
        </c:ser>
        <c:axId val="1648735664"/>
        <c:axId val="664182625"/>
      </c:lineChart>
      <c:catAx>
        <c:axId val="1648735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664182625"/>
      </c:catAx>
      <c:valAx>
        <c:axId val="6641826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648735664"/>
      </c:valAx>
    </c:plotArea>
    <c:legend>
      <c:legendPos val="t"/>
      <c:legendEntry>
        <c:idx val="0"/>
        <c:txPr>
          <a:bodyPr/>
          <a:lstStyle/>
          <a:p>
            <a:pPr lvl="0">
              <a:defRPr sz="1800"/>
            </a:pPr>
          </a:p>
        </c:txPr>
      </c:legendEntry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790575</xdr:colOff>
      <xdr:row>51</xdr:row>
      <xdr:rowOff>142875</xdr:rowOff>
    </xdr:from>
    <xdr:ext cx="6886575" cy="43434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0</xdr:colOff>
      <xdr:row>51</xdr:row>
      <xdr:rowOff>142875</xdr:rowOff>
    </xdr:from>
    <xdr:ext cx="6886575" cy="43434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790575</xdr:colOff>
      <xdr:row>76</xdr:row>
      <xdr:rowOff>152400</xdr:rowOff>
    </xdr:from>
    <xdr:ext cx="6886575" cy="44005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0</xdr:colOff>
      <xdr:row>76</xdr:row>
      <xdr:rowOff>152400</xdr:rowOff>
    </xdr:from>
    <xdr:ext cx="6886575" cy="44005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5</xdr:col>
      <xdr:colOff>409575</xdr:colOff>
      <xdr:row>16</xdr:row>
      <xdr:rowOff>66675</xdr:rowOff>
    </xdr:from>
    <xdr:ext cx="12487275" cy="61722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5.13"/>
    <col customWidth="1" min="2" max="2" width="16.0"/>
    <col customWidth="1" min="3" max="6" width="12.63"/>
  </cols>
  <sheetData>
    <row r="1" ht="15.75" customHeight="1">
      <c r="A1" s="1"/>
      <c r="B1" s="2"/>
      <c r="C1" s="3"/>
      <c r="D1" s="3"/>
      <c r="E1" s="3"/>
      <c r="F1" s="3"/>
    </row>
    <row r="2">
      <c r="A2" s="1" t="s">
        <v>0</v>
      </c>
      <c r="B2" s="2" t="s">
        <v>1</v>
      </c>
      <c r="C2" s="4"/>
      <c r="D2" s="4"/>
      <c r="E2" s="4"/>
      <c r="F2" s="4"/>
      <c r="G2" s="5"/>
      <c r="H2" s="5"/>
      <c r="I2" s="5"/>
      <c r="J2" s="5"/>
      <c r="K2" s="5"/>
      <c r="L2" s="5"/>
    </row>
    <row r="3" ht="15.75" customHeight="1">
      <c r="A3" s="6"/>
      <c r="B3" s="7"/>
      <c r="C3" s="5"/>
      <c r="D3" s="4"/>
      <c r="E3" s="4"/>
      <c r="F3" s="4"/>
      <c r="G3" s="5"/>
      <c r="H3" s="5"/>
      <c r="I3" s="5"/>
      <c r="J3" s="5"/>
      <c r="K3" s="5"/>
      <c r="L3" s="5"/>
    </row>
    <row r="4">
      <c r="A4" s="6" t="s">
        <v>2</v>
      </c>
      <c r="B4" s="8" t="s">
        <v>3</v>
      </c>
      <c r="C4" s="5"/>
      <c r="D4" s="4"/>
      <c r="E4" s="4"/>
      <c r="F4" s="4"/>
      <c r="G4" s="5"/>
      <c r="H4" s="5"/>
      <c r="I4" s="5"/>
      <c r="J4" s="5"/>
      <c r="K4" s="5"/>
      <c r="L4" s="5"/>
    </row>
    <row r="5" ht="21.0" customHeight="1">
      <c r="A5" s="6"/>
      <c r="B5" s="9" t="s">
        <v>4</v>
      </c>
      <c r="C5" s="5"/>
      <c r="D5" s="4"/>
      <c r="E5" s="4"/>
      <c r="F5" s="4"/>
      <c r="G5" s="5"/>
      <c r="H5" s="5"/>
      <c r="I5" s="5"/>
      <c r="J5" s="5"/>
      <c r="K5" s="5"/>
      <c r="L5" s="5"/>
    </row>
    <row r="6" ht="15.75" customHeight="1">
      <c r="A6" s="6"/>
      <c r="B6" s="7"/>
      <c r="C6" s="5"/>
      <c r="D6" s="4"/>
      <c r="E6" s="4"/>
      <c r="F6" s="4"/>
      <c r="G6" s="5"/>
      <c r="H6" s="5"/>
      <c r="I6" s="5"/>
      <c r="J6" s="5"/>
      <c r="K6" s="5"/>
      <c r="L6" s="5"/>
    </row>
    <row r="7">
      <c r="A7" s="1" t="s">
        <v>5</v>
      </c>
      <c r="B7" s="10" t="s">
        <v>6</v>
      </c>
      <c r="C7" s="4"/>
      <c r="D7" s="4"/>
      <c r="E7" s="4"/>
      <c r="F7" s="4"/>
      <c r="G7" s="5"/>
      <c r="H7" s="5"/>
      <c r="I7" s="5"/>
      <c r="J7" s="5"/>
      <c r="K7" s="5"/>
      <c r="L7" s="5"/>
    </row>
    <row r="8">
      <c r="A8" s="1" t="s">
        <v>7</v>
      </c>
      <c r="B8" s="11">
        <v>46204.0</v>
      </c>
      <c r="C8" s="4"/>
      <c r="D8" s="4"/>
      <c r="E8" s="4"/>
      <c r="F8" s="4"/>
      <c r="G8" s="5"/>
      <c r="H8" s="5"/>
      <c r="I8" s="5"/>
      <c r="J8" s="5"/>
      <c r="K8" s="5"/>
      <c r="L8" s="5"/>
    </row>
    <row r="9" ht="15.75" customHeight="1">
      <c r="A9" s="6"/>
      <c r="B9" s="12"/>
      <c r="C9" s="5"/>
      <c r="D9" s="4"/>
      <c r="E9" s="4"/>
      <c r="F9" s="4"/>
      <c r="G9" s="5"/>
      <c r="H9" s="5"/>
      <c r="I9" s="5"/>
      <c r="J9" s="5"/>
      <c r="K9" s="5"/>
      <c r="L9" s="5"/>
    </row>
    <row r="10">
      <c r="A10" s="1" t="s">
        <v>8</v>
      </c>
      <c r="B10" s="13" t="s">
        <v>9</v>
      </c>
      <c r="C10" s="4"/>
      <c r="D10" s="4"/>
      <c r="E10" s="4"/>
      <c r="F10" s="4"/>
      <c r="G10" s="5"/>
      <c r="H10" s="5"/>
      <c r="I10" s="5"/>
      <c r="J10" s="5"/>
      <c r="K10" s="5"/>
      <c r="L10" s="5"/>
    </row>
    <row r="11">
      <c r="A11" s="1"/>
      <c r="B11" s="2" t="s">
        <v>10</v>
      </c>
      <c r="C11" s="4"/>
      <c r="D11" s="4"/>
      <c r="E11" s="4"/>
      <c r="F11" s="4"/>
      <c r="G11" s="5"/>
      <c r="H11" s="5"/>
      <c r="I11" s="5"/>
      <c r="J11" s="5"/>
      <c r="K11" s="5"/>
      <c r="L11" s="5"/>
    </row>
    <row r="12">
      <c r="A12" s="1"/>
      <c r="B12" s="14" t="s">
        <v>11</v>
      </c>
      <c r="C12" s="4"/>
      <c r="D12" s="4"/>
      <c r="E12" s="4"/>
      <c r="F12" s="4"/>
      <c r="G12" s="5"/>
      <c r="H12" s="5"/>
      <c r="I12" s="5"/>
      <c r="J12" s="5"/>
      <c r="K12" s="5"/>
      <c r="L12" s="5"/>
    </row>
    <row r="13" ht="15.75" customHeight="1">
      <c r="A13" s="15"/>
      <c r="B13" s="7"/>
      <c r="C13" s="5"/>
      <c r="D13" s="4"/>
      <c r="E13" s="4"/>
      <c r="F13" s="4"/>
      <c r="G13" s="5"/>
      <c r="H13" s="5"/>
      <c r="I13" s="5"/>
      <c r="J13" s="5"/>
      <c r="K13" s="5"/>
      <c r="L13" s="5"/>
    </row>
    <row r="14">
      <c r="A14" s="1" t="s">
        <v>12</v>
      </c>
      <c r="B14" s="16" t="s">
        <v>13</v>
      </c>
      <c r="C14" s="4"/>
      <c r="D14" s="4"/>
      <c r="E14" s="4"/>
      <c r="F14" s="4"/>
      <c r="G14" s="5"/>
      <c r="H14" s="5"/>
      <c r="I14" s="5"/>
      <c r="J14" s="5"/>
      <c r="K14" s="5"/>
      <c r="L14" s="5"/>
    </row>
    <row r="15" ht="22.5" customHeight="1">
      <c r="A15" s="1"/>
      <c r="B15" s="17" t="s">
        <v>14</v>
      </c>
      <c r="C15" s="4"/>
      <c r="D15" s="4"/>
      <c r="E15" s="4"/>
      <c r="F15" s="4"/>
      <c r="G15" s="5"/>
      <c r="H15" s="5"/>
      <c r="I15" s="5"/>
      <c r="J15" s="5"/>
      <c r="K15" s="5"/>
      <c r="L15" s="5"/>
    </row>
    <row r="16" ht="22.5" customHeight="1">
      <c r="A16" s="1"/>
      <c r="B16" s="9" t="s">
        <v>15</v>
      </c>
      <c r="C16" s="4"/>
      <c r="D16" s="4"/>
      <c r="E16" s="4"/>
      <c r="F16" s="4"/>
      <c r="G16" s="5"/>
      <c r="H16" s="5"/>
      <c r="I16" s="5"/>
      <c r="J16" s="5"/>
      <c r="K16" s="5"/>
      <c r="L16" s="5"/>
    </row>
    <row r="17" ht="15.75" customHeight="1">
      <c r="A17" s="1"/>
      <c r="B17" s="2"/>
      <c r="C17" s="4"/>
      <c r="D17" s="4"/>
      <c r="E17" s="4"/>
      <c r="F17" s="4"/>
      <c r="G17" s="5"/>
      <c r="H17" s="5"/>
      <c r="I17" s="5"/>
      <c r="J17" s="5"/>
      <c r="K17" s="5"/>
      <c r="L17" s="5"/>
    </row>
    <row r="18" ht="15.75" customHeight="1">
      <c r="A18" s="1"/>
      <c r="B18" s="2"/>
      <c r="C18" s="4"/>
      <c r="D18" s="4"/>
      <c r="E18" s="4"/>
      <c r="F18" s="4"/>
      <c r="G18" s="5"/>
      <c r="H18" s="5"/>
      <c r="I18" s="5"/>
      <c r="J18" s="5"/>
      <c r="K18" s="5"/>
      <c r="L18" s="5"/>
    </row>
    <row r="19" ht="15.75" customHeight="1">
      <c r="A19" s="1"/>
      <c r="B19" s="2"/>
      <c r="C19" s="4"/>
      <c r="D19" s="4"/>
      <c r="E19" s="4"/>
      <c r="F19" s="4"/>
      <c r="G19" s="5"/>
      <c r="H19" s="5"/>
      <c r="I19" s="5"/>
      <c r="J19" s="5"/>
      <c r="K19" s="5"/>
      <c r="L19" s="5"/>
    </row>
    <row r="20" ht="15.75" customHeight="1">
      <c r="A20" s="1"/>
      <c r="B20" s="2"/>
      <c r="C20" s="3"/>
      <c r="D20" s="3"/>
      <c r="E20" s="3"/>
      <c r="F20" s="3"/>
    </row>
    <row r="21" ht="15.75" customHeight="1">
      <c r="A21" s="1"/>
      <c r="B21" s="2"/>
      <c r="C21" s="4"/>
      <c r="D21" s="3"/>
      <c r="E21" s="3"/>
      <c r="F21" s="3"/>
    </row>
    <row r="22" ht="15.75" customHeight="1">
      <c r="A22" s="1"/>
      <c r="B22" s="2"/>
      <c r="C22" s="3"/>
      <c r="D22" s="3"/>
      <c r="E22" s="3"/>
      <c r="F22" s="3"/>
    </row>
    <row r="23" ht="15.75" customHeight="1">
      <c r="A23" s="1"/>
      <c r="B23" s="2"/>
      <c r="C23" s="3"/>
      <c r="D23" s="3"/>
      <c r="E23" s="3"/>
      <c r="F23" s="3"/>
    </row>
    <row r="24" ht="15.75" customHeight="1">
      <c r="A24" s="1"/>
      <c r="B24" s="2"/>
      <c r="C24" s="3"/>
      <c r="D24" s="3"/>
      <c r="E24" s="3"/>
      <c r="F24" s="3"/>
    </row>
    <row r="25" ht="15.75" customHeight="1">
      <c r="A25" s="1"/>
      <c r="B25" s="2"/>
      <c r="C25" s="3"/>
      <c r="D25" s="3"/>
      <c r="E25" s="3"/>
      <c r="F25" s="3"/>
    </row>
    <row r="26" ht="15.75" customHeight="1">
      <c r="A26" s="1"/>
      <c r="B26" s="2"/>
      <c r="C26" s="3"/>
      <c r="D26" s="3"/>
      <c r="E26" s="3"/>
      <c r="F26" s="3"/>
    </row>
    <row r="27" ht="15.75" customHeight="1">
      <c r="A27" s="1"/>
      <c r="B27" s="2"/>
      <c r="C27" s="3"/>
      <c r="D27" s="3"/>
      <c r="E27" s="3"/>
      <c r="F27" s="3"/>
    </row>
    <row r="28" ht="15.75" customHeight="1">
      <c r="A28" s="1"/>
      <c r="B28" s="2"/>
      <c r="C28" s="3"/>
      <c r="D28" s="3"/>
      <c r="E28" s="3"/>
      <c r="F28" s="3"/>
    </row>
    <row r="29" ht="15.75" customHeight="1">
      <c r="A29" s="1"/>
      <c r="B29" s="2"/>
      <c r="C29" s="3"/>
      <c r="D29" s="3"/>
      <c r="E29" s="3"/>
      <c r="F29" s="3"/>
    </row>
    <row r="30" ht="15.75" customHeight="1">
      <c r="A30" s="1"/>
      <c r="B30" s="2"/>
      <c r="C30" s="3"/>
      <c r="D30" s="3"/>
      <c r="E30" s="3"/>
      <c r="F30" s="3"/>
    </row>
    <row r="31" ht="15.75" customHeight="1">
      <c r="A31" s="1"/>
      <c r="B31" s="2"/>
      <c r="C31" s="3"/>
      <c r="D31" s="3"/>
      <c r="E31" s="3"/>
      <c r="F31" s="3"/>
    </row>
    <row r="32" ht="15.75" customHeight="1">
      <c r="A32" s="1"/>
      <c r="B32" s="2"/>
      <c r="C32" s="3"/>
      <c r="D32" s="3"/>
      <c r="E32" s="3"/>
      <c r="F32" s="3"/>
    </row>
    <row r="33" ht="15.75" customHeight="1">
      <c r="A33" s="1"/>
      <c r="B33" s="2"/>
      <c r="C33" s="3"/>
      <c r="D33" s="3"/>
      <c r="E33" s="3"/>
      <c r="F33" s="3"/>
    </row>
    <row r="34" ht="15.75" customHeight="1">
      <c r="A34" s="1"/>
      <c r="B34" s="2"/>
      <c r="C34" s="3"/>
      <c r="D34" s="3"/>
      <c r="E34" s="3"/>
      <c r="F34" s="3"/>
    </row>
    <row r="35" ht="15.75" customHeight="1">
      <c r="A35" s="1"/>
      <c r="B35" s="2"/>
      <c r="C35" s="3"/>
      <c r="D35" s="3"/>
      <c r="E35" s="3"/>
      <c r="F35" s="3"/>
    </row>
    <row r="36" ht="15.75" customHeight="1">
      <c r="A36" s="1"/>
      <c r="B36" s="2"/>
      <c r="C36" s="3"/>
      <c r="D36" s="3"/>
      <c r="E36" s="3"/>
      <c r="F36" s="3"/>
    </row>
    <row r="37" ht="15.75" customHeight="1">
      <c r="A37" s="1"/>
      <c r="B37" s="2"/>
      <c r="C37" s="3"/>
      <c r="D37" s="3"/>
      <c r="E37" s="3"/>
      <c r="F37" s="3"/>
    </row>
    <row r="38" ht="15.75" customHeight="1">
      <c r="A38" s="1"/>
      <c r="B38" s="2"/>
      <c r="C38" s="3"/>
      <c r="D38" s="3"/>
      <c r="E38" s="3"/>
      <c r="F38" s="3"/>
    </row>
    <row r="39" ht="15.75" customHeight="1">
      <c r="A39" s="1"/>
      <c r="B39" s="2"/>
      <c r="C39" s="3"/>
      <c r="D39" s="3"/>
      <c r="E39" s="3"/>
      <c r="F39" s="3"/>
    </row>
    <row r="40" ht="15.75" customHeight="1">
      <c r="A40" s="1"/>
      <c r="B40" s="2"/>
      <c r="C40" s="3"/>
      <c r="D40" s="3"/>
      <c r="E40" s="3"/>
      <c r="F40" s="3"/>
    </row>
    <row r="41" ht="15.75" customHeight="1">
      <c r="A41" s="1"/>
      <c r="B41" s="2"/>
      <c r="C41" s="3"/>
      <c r="D41" s="3"/>
      <c r="E41" s="3"/>
      <c r="F41" s="3"/>
    </row>
    <row r="42" ht="15.75" customHeight="1">
      <c r="A42" s="1"/>
      <c r="B42" s="2"/>
      <c r="C42" s="3"/>
      <c r="D42" s="3"/>
      <c r="E42" s="3"/>
      <c r="F42" s="3"/>
    </row>
    <row r="43" ht="15.75" customHeight="1">
      <c r="A43" s="1"/>
      <c r="B43" s="2"/>
      <c r="C43" s="3"/>
      <c r="D43" s="3"/>
      <c r="E43" s="3"/>
      <c r="F43" s="3"/>
    </row>
    <row r="44" ht="15.75" customHeight="1">
      <c r="A44" s="1"/>
      <c r="B44" s="2"/>
      <c r="C44" s="3"/>
      <c r="D44" s="3"/>
      <c r="E44" s="3"/>
      <c r="F44" s="3"/>
    </row>
    <row r="45" ht="15.75" customHeight="1">
      <c r="A45" s="1"/>
      <c r="B45" s="2"/>
      <c r="C45" s="3"/>
      <c r="D45" s="3"/>
      <c r="E45" s="3"/>
      <c r="F45" s="3"/>
    </row>
    <row r="46" ht="15.75" customHeight="1">
      <c r="A46" s="1"/>
      <c r="B46" s="2"/>
      <c r="C46" s="3"/>
      <c r="D46" s="3"/>
      <c r="E46" s="3"/>
      <c r="F46" s="3"/>
    </row>
    <row r="47" ht="15.75" customHeight="1">
      <c r="A47" s="1"/>
      <c r="B47" s="2"/>
      <c r="C47" s="3"/>
      <c r="D47" s="3"/>
      <c r="E47" s="3"/>
      <c r="F47" s="3"/>
    </row>
    <row r="48" ht="15.75" customHeight="1">
      <c r="A48" s="1"/>
      <c r="B48" s="2"/>
      <c r="C48" s="3"/>
      <c r="D48" s="3"/>
      <c r="E48" s="3"/>
      <c r="F48" s="3"/>
    </row>
    <row r="49" ht="15.75" customHeight="1">
      <c r="A49" s="1"/>
      <c r="B49" s="2"/>
      <c r="C49" s="3"/>
      <c r="D49" s="3"/>
      <c r="E49" s="3"/>
      <c r="F49" s="3"/>
    </row>
    <row r="50" ht="15.75" customHeight="1">
      <c r="A50" s="1"/>
      <c r="B50" s="2"/>
      <c r="C50" s="3"/>
      <c r="D50" s="3"/>
      <c r="E50" s="3"/>
      <c r="F50" s="3"/>
    </row>
    <row r="51" ht="15.75" customHeight="1">
      <c r="A51" s="1"/>
      <c r="B51" s="2"/>
      <c r="C51" s="3"/>
      <c r="D51" s="3"/>
      <c r="E51" s="3"/>
      <c r="F51" s="3"/>
    </row>
    <row r="52" ht="15.75" customHeight="1">
      <c r="A52" s="1"/>
      <c r="B52" s="2"/>
      <c r="C52" s="3"/>
      <c r="D52" s="3"/>
      <c r="E52" s="3"/>
      <c r="F52" s="3"/>
    </row>
    <row r="53" ht="15.75" customHeight="1">
      <c r="A53" s="1"/>
      <c r="B53" s="2"/>
      <c r="C53" s="3"/>
      <c r="D53" s="3"/>
      <c r="E53" s="3"/>
      <c r="F53" s="3"/>
    </row>
    <row r="54" ht="15.75" customHeight="1">
      <c r="A54" s="1"/>
      <c r="B54" s="2"/>
      <c r="C54" s="3"/>
      <c r="D54" s="3"/>
      <c r="E54" s="3"/>
      <c r="F54" s="3"/>
    </row>
    <row r="55" ht="15.75" customHeight="1">
      <c r="A55" s="1"/>
      <c r="B55" s="2"/>
      <c r="C55" s="3"/>
      <c r="D55" s="3"/>
      <c r="E55" s="3"/>
      <c r="F55" s="3"/>
    </row>
    <row r="56" ht="15.75" customHeight="1">
      <c r="A56" s="1"/>
      <c r="B56" s="2"/>
      <c r="C56" s="3"/>
      <c r="D56" s="3"/>
      <c r="E56" s="3"/>
      <c r="F56" s="3"/>
    </row>
    <row r="57" ht="15.75" customHeight="1">
      <c r="A57" s="1"/>
      <c r="B57" s="2"/>
      <c r="C57" s="3"/>
      <c r="D57" s="3"/>
      <c r="E57" s="3"/>
      <c r="F57" s="3"/>
    </row>
    <row r="58" ht="15.75" customHeight="1">
      <c r="A58" s="1"/>
      <c r="B58" s="2"/>
      <c r="C58" s="3"/>
      <c r="D58" s="3"/>
      <c r="E58" s="3"/>
      <c r="F58" s="3"/>
    </row>
    <row r="59" ht="15.75" customHeight="1">
      <c r="A59" s="1"/>
      <c r="B59" s="2"/>
      <c r="C59" s="3"/>
      <c r="D59" s="3"/>
      <c r="E59" s="3"/>
      <c r="F59" s="3"/>
    </row>
    <row r="60" ht="15.75" customHeight="1">
      <c r="A60" s="1"/>
      <c r="B60" s="2"/>
      <c r="C60" s="3"/>
      <c r="D60" s="3"/>
      <c r="E60" s="3"/>
      <c r="F60" s="3"/>
    </row>
    <row r="61" ht="15.75" customHeight="1">
      <c r="A61" s="1"/>
      <c r="B61" s="2"/>
      <c r="C61" s="3"/>
      <c r="D61" s="3"/>
      <c r="E61" s="3"/>
      <c r="F61" s="3"/>
    </row>
    <row r="62" ht="15.75" customHeight="1">
      <c r="A62" s="1"/>
      <c r="B62" s="2"/>
      <c r="C62" s="3"/>
      <c r="D62" s="3"/>
      <c r="E62" s="3"/>
      <c r="F62" s="3"/>
    </row>
    <row r="63" ht="15.75" customHeight="1">
      <c r="A63" s="1"/>
      <c r="B63" s="2"/>
      <c r="C63" s="3"/>
      <c r="D63" s="3"/>
      <c r="E63" s="3"/>
      <c r="F63" s="3"/>
    </row>
    <row r="64" ht="15.75" customHeight="1">
      <c r="A64" s="1"/>
      <c r="B64" s="2"/>
      <c r="C64" s="3"/>
      <c r="D64" s="3"/>
      <c r="E64" s="3"/>
      <c r="F64" s="3"/>
    </row>
    <row r="65" ht="15.75" customHeight="1">
      <c r="A65" s="1"/>
      <c r="B65" s="2"/>
      <c r="C65" s="3"/>
      <c r="D65" s="3"/>
      <c r="E65" s="3"/>
      <c r="F65" s="3"/>
    </row>
    <row r="66" ht="15.75" customHeight="1">
      <c r="A66" s="1"/>
      <c r="B66" s="2"/>
      <c r="C66" s="3"/>
      <c r="D66" s="3"/>
      <c r="E66" s="3"/>
      <c r="F66" s="3"/>
    </row>
    <row r="67" ht="15.75" customHeight="1">
      <c r="A67" s="1"/>
      <c r="B67" s="2"/>
      <c r="C67" s="3"/>
      <c r="D67" s="3"/>
      <c r="E67" s="3"/>
      <c r="F67" s="3"/>
    </row>
    <row r="68" ht="15.75" customHeight="1">
      <c r="A68" s="1"/>
      <c r="B68" s="2"/>
      <c r="C68" s="3"/>
      <c r="D68" s="3"/>
      <c r="E68" s="3"/>
      <c r="F68" s="3"/>
    </row>
    <row r="69" ht="15.75" customHeight="1">
      <c r="A69" s="1"/>
      <c r="B69" s="2"/>
      <c r="C69" s="3"/>
      <c r="D69" s="3"/>
      <c r="E69" s="3"/>
      <c r="F69" s="3"/>
    </row>
    <row r="70" ht="15.75" customHeight="1">
      <c r="A70" s="1"/>
      <c r="B70" s="2"/>
      <c r="C70" s="3"/>
      <c r="D70" s="3"/>
      <c r="E70" s="3"/>
      <c r="F70" s="3"/>
    </row>
    <row r="71" ht="15.75" customHeight="1">
      <c r="A71" s="1"/>
      <c r="B71" s="2"/>
      <c r="C71" s="3"/>
      <c r="D71" s="3"/>
      <c r="E71" s="3"/>
      <c r="F71" s="3"/>
    </row>
    <row r="72" ht="15.75" customHeight="1">
      <c r="A72" s="1"/>
      <c r="B72" s="2"/>
      <c r="C72" s="3"/>
      <c r="D72" s="3"/>
      <c r="E72" s="3"/>
      <c r="F72" s="3"/>
    </row>
    <row r="73" ht="15.75" customHeight="1">
      <c r="A73" s="1"/>
      <c r="B73" s="2"/>
      <c r="C73" s="3"/>
      <c r="D73" s="3"/>
      <c r="E73" s="3"/>
      <c r="F73" s="3"/>
    </row>
    <row r="74" ht="15.75" customHeight="1">
      <c r="A74" s="1"/>
      <c r="B74" s="2"/>
      <c r="C74" s="3"/>
      <c r="D74" s="3"/>
      <c r="E74" s="3"/>
      <c r="F74" s="3"/>
    </row>
    <row r="75" ht="15.75" customHeight="1">
      <c r="A75" s="1"/>
      <c r="B75" s="2"/>
      <c r="C75" s="3"/>
      <c r="D75" s="3"/>
      <c r="E75" s="3"/>
      <c r="F75" s="3"/>
    </row>
    <row r="76" ht="15.75" customHeight="1">
      <c r="A76" s="1"/>
      <c r="B76" s="2"/>
      <c r="C76" s="3"/>
      <c r="D76" s="3"/>
      <c r="E76" s="3"/>
      <c r="F76" s="3"/>
    </row>
    <row r="77" ht="15.75" customHeight="1">
      <c r="A77" s="1"/>
      <c r="B77" s="2"/>
      <c r="C77" s="3"/>
      <c r="D77" s="3"/>
      <c r="E77" s="3"/>
      <c r="F77" s="3"/>
    </row>
    <row r="78" ht="15.75" customHeight="1">
      <c r="A78" s="1"/>
      <c r="B78" s="2"/>
      <c r="C78" s="3"/>
      <c r="D78" s="3"/>
      <c r="E78" s="3"/>
      <c r="F78" s="3"/>
    </row>
    <row r="79" ht="15.75" customHeight="1">
      <c r="A79" s="1"/>
      <c r="B79" s="2"/>
      <c r="C79" s="3"/>
      <c r="D79" s="3"/>
      <c r="E79" s="3"/>
      <c r="F79" s="3"/>
    </row>
    <row r="80" ht="15.75" customHeight="1">
      <c r="A80" s="1"/>
      <c r="B80" s="2"/>
      <c r="C80" s="3"/>
      <c r="D80" s="3"/>
      <c r="E80" s="3"/>
      <c r="F80" s="3"/>
    </row>
    <row r="81" ht="15.75" customHeight="1">
      <c r="A81" s="1"/>
      <c r="B81" s="2"/>
      <c r="C81" s="3"/>
      <c r="D81" s="3"/>
      <c r="E81" s="3"/>
      <c r="F81" s="3"/>
    </row>
    <row r="82" ht="15.75" customHeight="1">
      <c r="A82" s="1"/>
      <c r="B82" s="2"/>
      <c r="C82" s="3"/>
      <c r="D82" s="3"/>
      <c r="E82" s="3"/>
      <c r="F82" s="3"/>
    </row>
    <row r="83" ht="15.75" customHeight="1">
      <c r="A83" s="1"/>
      <c r="B83" s="2"/>
      <c r="C83" s="3"/>
      <c r="D83" s="3"/>
      <c r="E83" s="3"/>
      <c r="F83" s="3"/>
    </row>
    <row r="84" ht="15.75" customHeight="1">
      <c r="A84" s="1"/>
      <c r="B84" s="2"/>
      <c r="C84" s="3"/>
      <c r="D84" s="3"/>
      <c r="E84" s="3"/>
      <c r="F84" s="3"/>
    </row>
    <row r="85" ht="15.75" customHeight="1">
      <c r="A85" s="1"/>
      <c r="B85" s="2"/>
      <c r="C85" s="3"/>
      <c r="D85" s="3"/>
      <c r="E85" s="3"/>
      <c r="F85" s="3"/>
    </row>
    <row r="86" ht="15.75" customHeight="1">
      <c r="A86" s="1"/>
      <c r="B86" s="2"/>
      <c r="C86" s="3"/>
      <c r="D86" s="3"/>
      <c r="E86" s="3"/>
      <c r="F86" s="3"/>
    </row>
    <row r="87" ht="15.75" customHeight="1">
      <c r="A87" s="1"/>
      <c r="B87" s="2"/>
      <c r="C87" s="3"/>
      <c r="D87" s="3"/>
      <c r="E87" s="3"/>
      <c r="F87" s="3"/>
    </row>
    <row r="88" ht="15.75" customHeight="1">
      <c r="A88" s="1"/>
      <c r="B88" s="2"/>
      <c r="C88" s="3"/>
      <c r="D88" s="3"/>
      <c r="E88" s="3"/>
      <c r="F88" s="3"/>
    </row>
    <row r="89" ht="15.75" customHeight="1">
      <c r="A89" s="1"/>
      <c r="B89" s="2"/>
      <c r="C89" s="3"/>
      <c r="D89" s="3"/>
      <c r="E89" s="3"/>
      <c r="F89" s="3"/>
    </row>
    <row r="90" ht="15.75" customHeight="1">
      <c r="A90" s="1"/>
      <c r="B90" s="2"/>
      <c r="C90" s="3"/>
      <c r="D90" s="3"/>
      <c r="E90" s="3"/>
      <c r="F90" s="3"/>
    </row>
    <row r="91" ht="15.75" customHeight="1">
      <c r="A91" s="1"/>
      <c r="B91" s="2"/>
      <c r="C91" s="3"/>
      <c r="D91" s="3"/>
      <c r="E91" s="3"/>
      <c r="F91" s="3"/>
    </row>
    <row r="92" ht="15.75" customHeight="1">
      <c r="A92" s="1"/>
      <c r="B92" s="2"/>
      <c r="C92" s="3"/>
      <c r="D92" s="3"/>
      <c r="E92" s="3"/>
      <c r="F92" s="3"/>
    </row>
    <row r="93" ht="15.75" customHeight="1">
      <c r="A93" s="1"/>
      <c r="B93" s="2"/>
      <c r="C93" s="3"/>
      <c r="D93" s="3"/>
      <c r="E93" s="3"/>
      <c r="F93" s="3"/>
    </row>
    <row r="94" ht="15.75" customHeight="1">
      <c r="A94" s="1"/>
      <c r="B94" s="2"/>
      <c r="C94" s="3"/>
      <c r="D94" s="3"/>
      <c r="E94" s="3"/>
      <c r="F94" s="3"/>
    </row>
    <row r="95" ht="15.75" customHeight="1">
      <c r="A95" s="1"/>
      <c r="B95" s="2"/>
      <c r="C95" s="3"/>
      <c r="D95" s="3"/>
      <c r="E95" s="3"/>
      <c r="F95" s="3"/>
    </row>
    <row r="96" ht="15.75" customHeight="1">
      <c r="A96" s="1"/>
      <c r="B96" s="2"/>
      <c r="C96" s="3"/>
      <c r="D96" s="3"/>
      <c r="E96" s="3"/>
      <c r="F96" s="3"/>
    </row>
    <row r="97" ht="15.75" customHeight="1">
      <c r="A97" s="1"/>
      <c r="B97" s="2"/>
      <c r="C97" s="3"/>
      <c r="D97" s="3"/>
      <c r="E97" s="3"/>
      <c r="F97" s="3"/>
    </row>
    <row r="98" ht="15.75" customHeight="1">
      <c r="A98" s="1"/>
      <c r="B98" s="2"/>
      <c r="C98" s="3"/>
      <c r="D98" s="3"/>
      <c r="E98" s="3"/>
      <c r="F98" s="3"/>
    </row>
    <row r="99" ht="15.75" customHeight="1">
      <c r="A99" s="1"/>
      <c r="B99" s="2"/>
      <c r="C99" s="3"/>
      <c r="D99" s="3"/>
      <c r="E99" s="3"/>
      <c r="F99" s="3"/>
    </row>
    <row r="100" ht="15.75" customHeight="1">
      <c r="A100" s="1"/>
      <c r="B100" s="2"/>
      <c r="C100" s="3"/>
      <c r="D100" s="3"/>
      <c r="E100" s="3"/>
      <c r="F100" s="3"/>
    </row>
    <row r="101" ht="15.75" customHeight="1">
      <c r="A101" s="1"/>
      <c r="B101" s="2"/>
      <c r="C101" s="3"/>
      <c r="D101" s="3"/>
      <c r="E101" s="3"/>
      <c r="F101" s="3"/>
    </row>
    <row r="102" ht="15.75" customHeight="1">
      <c r="A102" s="1"/>
      <c r="B102" s="2"/>
      <c r="C102" s="3"/>
      <c r="D102" s="3"/>
      <c r="E102" s="3"/>
      <c r="F102" s="3"/>
    </row>
    <row r="103" ht="15.75" customHeight="1">
      <c r="A103" s="1"/>
      <c r="B103" s="2"/>
      <c r="C103" s="3"/>
      <c r="D103" s="3"/>
      <c r="E103" s="3"/>
      <c r="F103" s="3"/>
    </row>
    <row r="104" ht="15.75" customHeight="1">
      <c r="A104" s="1"/>
      <c r="B104" s="2"/>
      <c r="C104" s="3"/>
      <c r="D104" s="3"/>
      <c r="E104" s="3"/>
      <c r="F104" s="3"/>
    </row>
    <row r="105" ht="15.75" customHeight="1">
      <c r="A105" s="1"/>
      <c r="B105" s="2"/>
      <c r="C105" s="3"/>
      <c r="D105" s="3"/>
      <c r="E105" s="3"/>
      <c r="F105" s="3"/>
    </row>
    <row r="106" ht="15.75" customHeight="1">
      <c r="A106" s="1"/>
      <c r="B106" s="2"/>
      <c r="C106" s="3"/>
      <c r="D106" s="3"/>
      <c r="E106" s="3"/>
      <c r="F106" s="3"/>
    </row>
    <row r="107" ht="15.75" customHeight="1">
      <c r="A107" s="1"/>
      <c r="B107" s="2"/>
      <c r="C107" s="3"/>
      <c r="D107" s="3"/>
      <c r="E107" s="3"/>
      <c r="F107" s="3"/>
    </row>
    <row r="108" ht="15.75" customHeight="1">
      <c r="A108" s="1"/>
      <c r="B108" s="2"/>
      <c r="C108" s="3"/>
      <c r="D108" s="3"/>
      <c r="E108" s="3"/>
      <c r="F108" s="3"/>
    </row>
    <row r="109" ht="15.75" customHeight="1">
      <c r="A109" s="1"/>
      <c r="B109" s="2"/>
      <c r="C109" s="3"/>
      <c r="D109" s="3"/>
      <c r="E109" s="3"/>
      <c r="F109" s="3"/>
    </row>
    <row r="110" ht="15.75" customHeight="1">
      <c r="A110" s="1"/>
      <c r="B110" s="2"/>
      <c r="C110" s="3"/>
      <c r="D110" s="3"/>
      <c r="E110" s="3"/>
      <c r="F110" s="3"/>
    </row>
    <row r="111" ht="15.75" customHeight="1">
      <c r="A111" s="1"/>
      <c r="B111" s="2"/>
      <c r="C111" s="3"/>
      <c r="D111" s="3"/>
      <c r="E111" s="3"/>
      <c r="F111" s="3"/>
    </row>
    <row r="112" ht="15.75" customHeight="1">
      <c r="A112" s="1"/>
      <c r="B112" s="2"/>
      <c r="C112" s="3"/>
      <c r="D112" s="3"/>
      <c r="E112" s="3"/>
      <c r="F112" s="3"/>
    </row>
    <row r="113" ht="15.75" customHeight="1">
      <c r="A113" s="1"/>
      <c r="B113" s="2"/>
      <c r="C113" s="3"/>
      <c r="D113" s="3"/>
      <c r="E113" s="3"/>
      <c r="F113" s="3"/>
    </row>
    <row r="114" ht="15.75" customHeight="1">
      <c r="A114" s="1"/>
      <c r="B114" s="2"/>
      <c r="C114" s="3"/>
      <c r="D114" s="3"/>
      <c r="E114" s="3"/>
      <c r="F114" s="3"/>
    </row>
    <row r="115" ht="15.75" customHeight="1">
      <c r="A115" s="1"/>
      <c r="B115" s="2"/>
      <c r="C115" s="3"/>
      <c r="D115" s="3"/>
      <c r="E115" s="3"/>
      <c r="F115" s="3"/>
    </row>
    <row r="116" ht="15.75" customHeight="1">
      <c r="A116" s="1"/>
      <c r="B116" s="2"/>
      <c r="C116" s="3"/>
      <c r="D116" s="3"/>
      <c r="E116" s="3"/>
      <c r="F116" s="3"/>
    </row>
    <row r="117" ht="15.75" customHeight="1">
      <c r="A117" s="1"/>
      <c r="B117" s="2"/>
      <c r="C117" s="3"/>
      <c r="D117" s="3"/>
      <c r="E117" s="3"/>
      <c r="F117" s="3"/>
    </row>
    <row r="118" ht="15.75" customHeight="1">
      <c r="A118" s="1"/>
      <c r="B118" s="2"/>
      <c r="C118" s="3"/>
      <c r="D118" s="3"/>
      <c r="E118" s="3"/>
      <c r="F118" s="3"/>
    </row>
    <row r="119" ht="15.75" customHeight="1">
      <c r="A119" s="1"/>
      <c r="B119" s="2"/>
      <c r="C119" s="3"/>
      <c r="D119" s="3"/>
      <c r="E119" s="3"/>
      <c r="F119" s="3"/>
    </row>
    <row r="120" ht="15.75" customHeight="1">
      <c r="A120" s="1"/>
      <c r="B120" s="2"/>
      <c r="C120" s="3"/>
      <c r="D120" s="3"/>
      <c r="E120" s="3"/>
      <c r="F120" s="3"/>
    </row>
    <row r="121" ht="15.75" customHeight="1">
      <c r="A121" s="1"/>
      <c r="B121" s="2"/>
      <c r="C121" s="3"/>
      <c r="D121" s="3"/>
      <c r="E121" s="3"/>
      <c r="F121" s="3"/>
    </row>
    <row r="122" ht="15.75" customHeight="1">
      <c r="A122" s="1"/>
      <c r="B122" s="2"/>
      <c r="C122" s="3"/>
      <c r="D122" s="3"/>
      <c r="E122" s="3"/>
      <c r="F122" s="3"/>
    </row>
    <row r="123" ht="15.75" customHeight="1">
      <c r="A123" s="1"/>
      <c r="B123" s="2"/>
      <c r="C123" s="3"/>
      <c r="D123" s="3"/>
      <c r="E123" s="3"/>
      <c r="F123" s="3"/>
    </row>
    <row r="124" ht="15.75" customHeight="1">
      <c r="A124" s="1"/>
      <c r="B124" s="2"/>
      <c r="C124" s="3"/>
      <c r="D124" s="3"/>
      <c r="E124" s="3"/>
      <c r="F124" s="3"/>
    </row>
    <row r="125" ht="15.75" customHeight="1">
      <c r="A125" s="1"/>
      <c r="B125" s="2"/>
      <c r="C125" s="3"/>
      <c r="D125" s="3"/>
      <c r="E125" s="3"/>
      <c r="F125" s="3"/>
    </row>
    <row r="126" ht="15.75" customHeight="1">
      <c r="A126" s="1"/>
      <c r="B126" s="2"/>
      <c r="C126" s="3"/>
      <c r="D126" s="3"/>
      <c r="E126" s="3"/>
      <c r="F126" s="3"/>
    </row>
    <row r="127" ht="15.75" customHeight="1">
      <c r="A127" s="1"/>
      <c r="B127" s="2"/>
      <c r="C127" s="3"/>
      <c r="D127" s="3"/>
      <c r="E127" s="3"/>
      <c r="F127" s="3"/>
    </row>
    <row r="128" ht="15.75" customHeight="1">
      <c r="A128" s="1"/>
      <c r="B128" s="2"/>
      <c r="C128" s="3"/>
      <c r="D128" s="3"/>
      <c r="E128" s="3"/>
      <c r="F128" s="3"/>
    </row>
    <row r="129" ht="15.75" customHeight="1">
      <c r="A129" s="1"/>
      <c r="B129" s="2"/>
      <c r="C129" s="3"/>
      <c r="D129" s="3"/>
      <c r="E129" s="3"/>
      <c r="F129" s="3"/>
    </row>
    <row r="130" ht="15.75" customHeight="1">
      <c r="A130" s="1"/>
      <c r="B130" s="2"/>
      <c r="C130" s="3"/>
      <c r="D130" s="3"/>
      <c r="E130" s="3"/>
      <c r="F130" s="3"/>
    </row>
    <row r="131" ht="15.75" customHeight="1">
      <c r="A131" s="1"/>
      <c r="B131" s="2"/>
      <c r="C131" s="3"/>
      <c r="D131" s="3"/>
      <c r="E131" s="3"/>
      <c r="F131" s="3"/>
    </row>
    <row r="132" ht="15.75" customHeight="1">
      <c r="A132" s="1"/>
      <c r="B132" s="2"/>
      <c r="C132" s="3"/>
      <c r="D132" s="3"/>
      <c r="E132" s="3"/>
      <c r="F132" s="3"/>
    </row>
    <row r="133" ht="15.75" customHeight="1">
      <c r="A133" s="1"/>
      <c r="B133" s="2"/>
      <c r="C133" s="3"/>
      <c r="D133" s="3"/>
      <c r="E133" s="3"/>
      <c r="F133" s="3"/>
    </row>
    <row r="134" ht="15.75" customHeight="1">
      <c r="A134" s="1"/>
      <c r="B134" s="2"/>
      <c r="C134" s="3"/>
      <c r="D134" s="3"/>
      <c r="E134" s="3"/>
      <c r="F134" s="3"/>
    </row>
    <row r="135" ht="15.75" customHeight="1">
      <c r="A135" s="1"/>
      <c r="B135" s="2"/>
      <c r="C135" s="3"/>
      <c r="D135" s="3"/>
      <c r="E135" s="3"/>
      <c r="F135" s="3"/>
    </row>
    <row r="136" ht="15.75" customHeight="1">
      <c r="A136" s="1"/>
      <c r="B136" s="2"/>
      <c r="C136" s="3"/>
      <c r="D136" s="3"/>
      <c r="E136" s="3"/>
      <c r="F136" s="3"/>
    </row>
    <row r="137" ht="15.75" customHeight="1">
      <c r="A137" s="1"/>
      <c r="B137" s="2"/>
      <c r="C137" s="3"/>
      <c r="D137" s="3"/>
      <c r="E137" s="3"/>
      <c r="F137" s="3"/>
    </row>
    <row r="138" ht="15.75" customHeight="1">
      <c r="A138" s="1"/>
      <c r="B138" s="2"/>
      <c r="C138" s="3"/>
      <c r="D138" s="3"/>
      <c r="E138" s="3"/>
      <c r="F138" s="3"/>
    </row>
    <row r="139" ht="15.75" customHeight="1">
      <c r="A139" s="1"/>
      <c r="B139" s="2"/>
      <c r="C139" s="3"/>
      <c r="D139" s="3"/>
      <c r="E139" s="3"/>
      <c r="F139" s="3"/>
    </row>
    <row r="140" ht="15.75" customHeight="1">
      <c r="A140" s="1"/>
      <c r="B140" s="2"/>
      <c r="C140" s="3"/>
      <c r="D140" s="3"/>
      <c r="E140" s="3"/>
      <c r="F140" s="3"/>
    </row>
    <row r="141" ht="15.75" customHeight="1">
      <c r="A141" s="1"/>
      <c r="B141" s="2"/>
      <c r="C141" s="3"/>
      <c r="D141" s="3"/>
      <c r="E141" s="3"/>
      <c r="F141" s="3"/>
    </row>
    <row r="142" ht="15.75" customHeight="1">
      <c r="A142" s="1"/>
      <c r="B142" s="2"/>
      <c r="C142" s="3"/>
      <c r="D142" s="3"/>
      <c r="E142" s="3"/>
      <c r="F142" s="3"/>
    </row>
    <row r="143" ht="15.75" customHeight="1">
      <c r="A143" s="1"/>
      <c r="B143" s="2"/>
      <c r="C143" s="3"/>
      <c r="D143" s="3"/>
      <c r="E143" s="3"/>
      <c r="F143" s="3"/>
    </row>
    <row r="144" ht="15.75" customHeight="1">
      <c r="A144" s="1"/>
      <c r="B144" s="2"/>
      <c r="C144" s="3"/>
      <c r="D144" s="3"/>
      <c r="E144" s="3"/>
      <c r="F144" s="3"/>
    </row>
    <row r="145" ht="15.75" customHeight="1">
      <c r="A145" s="1"/>
      <c r="B145" s="2"/>
      <c r="C145" s="3"/>
      <c r="D145" s="3"/>
      <c r="E145" s="3"/>
      <c r="F145" s="3"/>
    </row>
    <row r="146" ht="15.75" customHeight="1">
      <c r="A146" s="1"/>
      <c r="B146" s="2"/>
      <c r="C146" s="3"/>
      <c r="D146" s="3"/>
      <c r="E146" s="3"/>
      <c r="F146" s="3"/>
    </row>
    <row r="147" ht="15.75" customHeight="1">
      <c r="A147" s="1"/>
      <c r="B147" s="2"/>
      <c r="C147" s="3"/>
      <c r="D147" s="3"/>
      <c r="E147" s="3"/>
      <c r="F147" s="3"/>
    </row>
    <row r="148" ht="15.75" customHeight="1">
      <c r="A148" s="1"/>
      <c r="B148" s="2"/>
      <c r="C148" s="3"/>
      <c r="D148" s="3"/>
      <c r="E148" s="3"/>
      <c r="F148" s="3"/>
    </row>
    <row r="149" ht="15.75" customHeight="1">
      <c r="A149" s="1"/>
      <c r="B149" s="2"/>
      <c r="C149" s="3"/>
      <c r="D149" s="3"/>
      <c r="E149" s="3"/>
      <c r="F149" s="3"/>
    </row>
    <row r="150" ht="15.75" customHeight="1">
      <c r="A150" s="1"/>
      <c r="B150" s="2"/>
      <c r="C150" s="3"/>
      <c r="D150" s="3"/>
      <c r="E150" s="3"/>
      <c r="F150" s="3"/>
    </row>
    <row r="151" ht="15.75" customHeight="1">
      <c r="A151" s="1"/>
      <c r="B151" s="2"/>
      <c r="C151" s="3"/>
      <c r="D151" s="3"/>
      <c r="E151" s="3"/>
      <c r="F151" s="3"/>
    </row>
    <row r="152" ht="15.75" customHeight="1">
      <c r="A152" s="1"/>
      <c r="B152" s="2"/>
      <c r="C152" s="3"/>
      <c r="D152" s="3"/>
      <c r="E152" s="3"/>
      <c r="F152" s="3"/>
    </row>
    <row r="153" ht="15.75" customHeight="1">
      <c r="A153" s="1"/>
      <c r="B153" s="2"/>
      <c r="C153" s="3"/>
      <c r="D153" s="3"/>
      <c r="E153" s="3"/>
      <c r="F153" s="3"/>
    </row>
    <row r="154" ht="15.75" customHeight="1">
      <c r="A154" s="1"/>
      <c r="B154" s="2"/>
      <c r="C154" s="3"/>
      <c r="D154" s="3"/>
      <c r="E154" s="3"/>
      <c r="F154" s="3"/>
    </row>
    <row r="155" ht="15.75" customHeight="1">
      <c r="A155" s="1"/>
      <c r="B155" s="2"/>
      <c r="C155" s="3"/>
      <c r="D155" s="3"/>
      <c r="E155" s="3"/>
      <c r="F155" s="3"/>
    </row>
    <row r="156" ht="15.75" customHeight="1">
      <c r="A156" s="1"/>
      <c r="B156" s="2"/>
      <c r="C156" s="3"/>
      <c r="D156" s="3"/>
      <c r="E156" s="3"/>
      <c r="F156" s="3"/>
    </row>
    <row r="157" ht="15.75" customHeight="1">
      <c r="A157" s="1"/>
      <c r="B157" s="2"/>
      <c r="C157" s="3"/>
      <c r="D157" s="3"/>
      <c r="E157" s="3"/>
      <c r="F157" s="3"/>
    </row>
    <row r="158" ht="15.75" customHeight="1">
      <c r="A158" s="1"/>
      <c r="B158" s="2"/>
      <c r="C158" s="3"/>
      <c r="D158" s="3"/>
      <c r="E158" s="3"/>
      <c r="F158" s="3"/>
    </row>
    <row r="159" ht="15.75" customHeight="1">
      <c r="A159" s="1"/>
      <c r="B159" s="2"/>
      <c r="C159" s="3"/>
      <c r="D159" s="3"/>
      <c r="E159" s="3"/>
      <c r="F159" s="3"/>
    </row>
    <row r="160" ht="15.75" customHeight="1">
      <c r="A160" s="1"/>
      <c r="B160" s="2"/>
      <c r="C160" s="3"/>
      <c r="D160" s="3"/>
      <c r="E160" s="3"/>
      <c r="F160" s="3"/>
    </row>
    <row r="161" ht="15.75" customHeight="1">
      <c r="A161" s="1"/>
      <c r="B161" s="2"/>
      <c r="C161" s="3"/>
      <c r="D161" s="3"/>
      <c r="E161" s="3"/>
      <c r="F161" s="3"/>
    </row>
    <row r="162" ht="15.75" customHeight="1">
      <c r="A162" s="1"/>
      <c r="B162" s="2"/>
      <c r="C162" s="3"/>
      <c r="D162" s="3"/>
      <c r="E162" s="3"/>
      <c r="F162" s="3"/>
    </row>
    <row r="163" ht="15.75" customHeight="1">
      <c r="A163" s="1"/>
      <c r="B163" s="2"/>
      <c r="C163" s="3"/>
      <c r="D163" s="3"/>
      <c r="E163" s="3"/>
      <c r="F163" s="3"/>
    </row>
    <row r="164" ht="15.75" customHeight="1">
      <c r="A164" s="1"/>
      <c r="B164" s="2"/>
      <c r="C164" s="3"/>
      <c r="D164" s="3"/>
      <c r="E164" s="3"/>
      <c r="F164" s="3"/>
    </row>
    <row r="165" ht="15.75" customHeight="1">
      <c r="A165" s="1"/>
      <c r="B165" s="2"/>
      <c r="C165" s="3"/>
      <c r="D165" s="3"/>
      <c r="E165" s="3"/>
      <c r="F165" s="3"/>
    </row>
    <row r="166" ht="15.75" customHeight="1">
      <c r="A166" s="1"/>
      <c r="B166" s="2"/>
      <c r="C166" s="3"/>
      <c r="D166" s="3"/>
      <c r="E166" s="3"/>
      <c r="F166" s="3"/>
    </row>
    <row r="167" ht="15.75" customHeight="1">
      <c r="A167" s="1"/>
      <c r="B167" s="2"/>
      <c r="C167" s="3"/>
      <c r="D167" s="3"/>
      <c r="E167" s="3"/>
      <c r="F167" s="3"/>
    </row>
    <row r="168" ht="15.75" customHeight="1">
      <c r="A168" s="1"/>
      <c r="B168" s="2"/>
      <c r="C168" s="3"/>
      <c r="D168" s="3"/>
      <c r="E168" s="3"/>
      <c r="F168" s="3"/>
    </row>
    <row r="169" ht="15.75" customHeight="1">
      <c r="A169" s="1"/>
      <c r="B169" s="2"/>
      <c r="C169" s="3"/>
      <c r="D169" s="3"/>
      <c r="E169" s="3"/>
      <c r="F169" s="3"/>
    </row>
    <row r="170" ht="15.75" customHeight="1">
      <c r="A170" s="1"/>
      <c r="B170" s="2"/>
      <c r="C170" s="3"/>
      <c r="D170" s="3"/>
      <c r="E170" s="3"/>
      <c r="F170" s="3"/>
    </row>
    <row r="171" ht="15.75" customHeight="1">
      <c r="A171" s="1"/>
      <c r="B171" s="2"/>
      <c r="C171" s="3"/>
      <c r="D171" s="3"/>
      <c r="E171" s="3"/>
      <c r="F171" s="3"/>
    </row>
    <row r="172" ht="15.75" customHeight="1">
      <c r="A172" s="1"/>
      <c r="B172" s="2"/>
      <c r="C172" s="3"/>
      <c r="D172" s="3"/>
      <c r="E172" s="3"/>
      <c r="F172" s="3"/>
    </row>
    <row r="173" ht="15.75" customHeight="1">
      <c r="A173" s="1"/>
      <c r="B173" s="2"/>
      <c r="C173" s="3"/>
      <c r="D173" s="3"/>
      <c r="E173" s="3"/>
      <c r="F173" s="3"/>
    </row>
    <row r="174" ht="15.75" customHeight="1">
      <c r="A174" s="1"/>
      <c r="B174" s="2"/>
      <c r="C174" s="3"/>
      <c r="D174" s="3"/>
      <c r="E174" s="3"/>
      <c r="F174" s="3"/>
    </row>
    <row r="175" ht="15.75" customHeight="1">
      <c r="A175" s="1"/>
      <c r="B175" s="2"/>
      <c r="C175" s="3"/>
      <c r="D175" s="3"/>
      <c r="E175" s="3"/>
      <c r="F175" s="3"/>
    </row>
    <row r="176" ht="15.75" customHeight="1">
      <c r="A176" s="1"/>
      <c r="B176" s="2"/>
      <c r="C176" s="3"/>
      <c r="D176" s="3"/>
      <c r="E176" s="3"/>
      <c r="F176" s="3"/>
    </row>
    <row r="177" ht="15.75" customHeight="1">
      <c r="A177" s="1"/>
      <c r="B177" s="2"/>
      <c r="C177" s="3"/>
      <c r="D177" s="3"/>
      <c r="E177" s="3"/>
      <c r="F177" s="3"/>
    </row>
    <row r="178" ht="15.75" customHeight="1">
      <c r="A178" s="1"/>
      <c r="B178" s="2"/>
      <c r="C178" s="3"/>
      <c r="D178" s="3"/>
      <c r="E178" s="3"/>
      <c r="F178" s="3"/>
    </row>
    <row r="179" ht="15.75" customHeight="1">
      <c r="A179" s="1"/>
      <c r="B179" s="2"/>
      <c r="C179" s="3"/>
      <c r="D179" s="3"/>
      <c r="E179" s="3"/>
      <c r="F179" s="3"/>
    </row>
    <row r="180" ht="15.75" customHeight="1">
      <c r="A180" s="1"/>
      <c r="B180" s="2"/>
      <c r="C180" s="3"/>
      <c r="D180" s="3"/>
      <c r="E180" s="3"/>
      <c r="F180" s="3"/>
    </row>
    <row r="181" ht="15.75" customHeight="1">
      <c r="A181" s="1"/>
      <c r="B181" s="2"/>
      <c r="C181" s="3"/>
      <c r="D181" s="3"/>
      <c r="E181" s="3"/>
      <c r="F181" s="3"/>
    </row>
    <row r="182" ht="15.75" customHeight="1">
      <c r="A182" s="1"/>
      <c r="B182" s="2"/>
      <c r="C182" s="3"/>
      <c r="D182" s="3"/>
      <c r="E182" s="3"/>
      <c r="F182" s="3"/>
    </row>
    <row r="183" ht="15.75" customHeight="1">
      <c r="A183" s="1"/>
      <c r="B183" s="2"/>
      <c r="C183" s="3"/>
      <c r="D183" s="3"/>
      <c r="E183" s="3"/>
      <c r="F183" s="3"/>
    </row>
    <row r="184" ht="15.75" customHeight="1">
      <c r="A184" s="1"/>
      <c r="B184" s="2"/>
      <c r="C184" s="3"/>
      <c r="D184" s="3"/>
      <c r="E184" s="3"/>
      <c r="F184" s="3"/>
    </row>
    <row r="185" ht="15.75" customHeight="1">
      <c r="A185" s="1"/>
      <c r="B185" s="2"/>
      <c r="C185" s="3"/>
      <c r="D185" s="3"/>
      <c r="E185" s="3"/>
      <c r="F185" s="3"/>
    </row>
    <row r="186" ht="15.75" customHeight="1">
      <c r="A186" s="1"/>
      <c r="B186" s="2"/>
      <c r="C186" s="3"/>
      <c r="D186" s="3"/>
      <c r="E186" s="3"/>
      <c r="F186" s="3"/>
    </row>
    <row r="187" ht="15.75" customHeight="1">
      <c r="A187" s="1"/>
      <c r="B187" s="2"/>
      <c r="C187" s="3"/>
      <c r="D187" s="3"/>
      <c r="E187" s="3"/>
      <c r="F187" s="3"/>
    </row>
    <row r="188" ht="15.75" customHeight="1">
      <c r="A188" s="1"/>
      <c r="B188" s="2"/>
      <c r="C188" s="3"/>
      <c r="D188" s="3"/>
      <c r="E188" s="3"/>
      <c r="F188" s="3"/>
    </row>
    <row r="189" ht="15.75" customHeight="1">
      <c r="A189" s="1"/>
      <c r="B189" s="2"/>
      <c r="C189" s="3"/>
      <c r="D189" s="3"/>
      <c r="E189" s="3"/>
      <c r="F189" s="3"/>
    </row>
    <row r="190" ht="15.75" customHeight="1">
      <c r="A190" s="1"/>
      <c r="B190" s="2"/>
      <c r="C190" s="3"/>
      <c r="D190" s="3"/>
      <c r="E190" s="3"/>
      <c r="F190" s="3"/>
    </row>
    <row r="191" ht="15.75" customHeight="1">
      <c r="A191" s="1"/>
      <c r="B191" s="2"/>
      <c r="C191" s="3"/>
      <c r="D191" s="3"/>
      <c r="E191" s="3"/>
      <c r="F191" s="3"/>
    </row>
    <row r="192" ht="15.75" customHeight="1">
      <c r="A192" s="1"/>
      <c r="B192" s="2"/>
      <c r="C192" s="3"/>
      <c r="D192" s="3"/>
      <c r="E192" s="3"/>
      <c r="F192" s="3"/>
    </row>
    <row r="193" ht="15.75" customHeight="1">
      <c r="A193" s="1"/>
      <c r="B193" s="2"/>
      <c r="C193" s="3"/>
      <c r="D193" s="3"/>
      <c r="E193" s="3"/>
      <c r="F193" s="3"/>
    </row>
    <row r="194" ht="15.75" customHeight="1">
      <c r="A194" s="1"/>
      <c r="B194" s="2"/>
      <c r="C194" s="3"/>
      <c r="D194" s="3"/>
      <c r="E194" s="3"/>
      <c r="F194" s="3"/>
    </row>
    <row r="195" ht="15.75" customHeight="1">
      <c r="A195" s="1"/>
      <c r="B195" s="2"/>
      <c r="C195" s="3"/>
      <c r="D195" s="3"/>
      <c r="E195" s="3"/>
      <c r="F195" s="3"/>
    </row>
    <row r="196" ht="15.75" customHeight="1">
      <c r="A196" s="1"/>
      <c r="B196" s="2"/>
      <c r="C196" s="3"/>
      <c r="D196" s="3"/>
      <c r="E196" s="3"/>
      <c r="F196" s="3"/>
    </row>
    <row r="197" ht="15.75" customHeight="1">
      <c r="A197" s="1"/>
      <c r="B197" s="2"/>
      <c r="C197" s="3"/>
      <c r="D197" s="3"/>
      <c r="E197" s="3"/>
      <c r="F197" s="3"/>
    </row>
    <row r="198" ht="15.75" customHeight="1">
      <c r="A198" s="1"/>
      <c r="B198" s="2"/>
      <c r="C198" s="3"/>
      <c r="D198" s="3"/>
      <c r="E198" s="3"/>
      <c r="F198" s="3"/>
    </row>
    <row r="199" ht="15.75" customHeight="1">
      <c r="A199" s="1"/>
      <c r="B199" s="2"/>
      <c r="C199" s="3"/>
      <c r="D199" s="3"/>
      <c r="E199" s="3"/>
      <c r="F199" s="3"/>
    </row>
    <row r="200" ht="15.75" customHeight="1">
      <c r="A200" s="1"/>
      <c r="B200" s="2"/>
      <c r="C200" s="3"/>
      <c r="D200" s="3"/>
      <c r="E200" s="3"/>
      <c r="F200" s="3"/>
    </row>
    <row r="201" ht="15.75" customHeight="1">
      <c r="A201" s="1"/>
      <c r="B201" s="2"/>
      <c r="C201" s="3"/>
      <c r="D201" s="3"/>
      <c r="E201" s="3"/>
      <c r="F201" s="3"/>
    </row>
    <row r="202" ht="15.75" customHeight="1">
      <c r="A202" s="1"/>
      <c r="B202" s="2"/>
      <c r="C202" s="3"/>
      <c r="D202" s="3"/>
      <c r="E202" s="3"/>
      <c r="F202" s="3"/>
    </row>
    <row r="203" ht="15.75" customHeight="1">
      <c r="A203" s="1"/>
      <c r="B203" s="2"/>
      <c r="C203" s="3"/>
      <c r="D203" s="3"/>
      <c r="E203" s="3"/>
      <c r="F203" s="3"/>
    </row>
    <row r="204" ht="15.75" customHeight="1">
      <c r="A204" s="1"/>
      <c r="B204" s="2"/>
      <c r="C204" s="3"/>
      <c r="D204" s="3"/>
      <c r="E204" s="3"/>
      <c r="F204" s="3"/>
    </row>
    <row r="205" ht="15.75" customHeight="1">
      <c r="A205" s="1"/>
      <c r="B205" s="2"/>
      <c r="C205" s="3"/>
      <c r="D205" s="3"/>
      <c r="E205" s="3"/>
      <c r="F205" s="3"/>
    </row>
    <row r="206" ht="15.75" customHeight="1">
      <c r="A206" s="1"/>
      <c r="B206" s="2"/>
      <c r="C206" s="3"/>
      <c r="D206" s="3"/>
      <c r="E206" s="3"/>
      <c r="F206" s="3"/>
    </row>
    <row r="207" ht="15.75" customHeight="1">
      <c r="A207" s="1"/>
      <c r="B207" s="2"/>
      <c r="C207" s="3"/>
      <c r="D207" s="3"/>
      <c r="E207" s="3"/>
      <c r="F207" s="3"/>
    </row>
    <row r="208" ht="15.75" customHeight="1">
      <c r="A208" s="1"/>
      <c r="B208" s="2"/>
      <c r="C208" s="3"/>
      <c r="D208" s="3"/>
      <c r="E208" s="3"/>
      <c r="F208" s="3"/>
    </row>
    <row r="209" ht="15.75" customHeight="1">
      <c r="A209" s="1"/>
      <c r="B209" s="2"/>
      <c r="C209" s="3"/>
      <c r="D209" s="3"/>
      <c r="E209" s="3"/>
      <c r="F209" s="3"/>
    </row>
    <row r="210" ht="15.75" customHeight="1">
      <c r="A210" s="1"/>
      <c r="B210" s="2"/>
      <c r="C210" s="3"/>
      <c r="D210" s="3"/>
      <c r="E210" s="3"/>
      <c r="F210" s="3"/>
    </row>
    <row r="211" ht="15.75" customHeight="1">
      <c r="A211" s="1"/>
      <c r="B211" s="2"/>
      <c r="C211" s="3"/>
      <c r="D211" s="3"/>
      <c r="E211" s="3"/>
      <c r="F211" s="3"/>
    </row>
    <row r="212" ht="15.75" customHeight="1">
      <c r="A212" s="1"/>
      <c r="B212" s="2"/>
      <c r="C212" s="3"/>
      <c r="D212" s="3"/>
      <c r="E212" s="3"/>
      <c r="F212" s="3"/>
    </row>
    <row r="213" ht="15.75" customHeight="1">
      <c r="A213" s="1"/>
      <c r="B213" s="2"/>
      <c r="C213" s="3"/>
      <c r="D213" s="3"/>
      <c r="E213" s="3"/>
      <c r="F213" s="3"/>
    </row>
    <row r="214" ht="15.75" customHeight="1">
      <c r="A214" s="1"/>
      <c r="B214" s="2"/>
      <c r="C214" s="3"/>
      <c r="D214" s="3"/>
      <c r="E214" s="3"/>
      <c r="F214" s="3"/>
    </row>
    <row r="215" ht="15.75" customHeight="1">
      <c r="A215" s="1"/>
      <c r="B215" s="2"/>
      <c r="C215" s="3"/>
      <c r="D215" s="3"/>
      <c r="E215" s="3"/>
      <c r="F215" s="3"/>
    </row>
    <row r="216" ht="15.75" customHeight="1">
      <c r="A216" s="18"/>
      <c r="B216" s="2"/>
      <c r="C216" s="3"/>
      <c r="D216" s="3"/>
      <c r="E216" s="3"/>
      <c r="F216" s="3"/>
    </row>
    <row r="217" ht="15.75" customHeight="1">
      <c r="A217" s="18"/>
      <c r="B217" s="2"/>
      <c r="C217" s="3"/>
      <c r="D217" s="3"/>
      <c r="E217" s="3"/>
      <c r="F217" s="3"/>
    </row>
    <row r="218" ht="15.75" customHeight="1">
      <c r="A218" s="18"/>
      <c r="B218" s="2"/>
      <c r="C218" s="3"/>
      <c r="D218" s="3"/>
      <c r="E218" s="3"/>
      <c r="F218" s="3"/>
    </row>
    <row r="219" ht="15.75" customHeight="1">
      <c r="A219" s="18"/>
      <c r="B219" s="2"/>
      <c r="C219" s="3"/>
      <c r="D219" s="3"/>
      <c r="E219" s="3"/>
      <c r="F219" s="3"/>
    </row>
    <row r="220" ht="15.75" customHeight="1">
      <c r="A220" s="18"/>
      <c r="B220" s="2"/>
      <c r="C220" s="3"/>
      <c r="D220" s="3"/>
      <c r="E220" s="3"/>
      <c r="F220" s="3"/>
    </row>
    <row r="221" ht="15.75" customHeight="1">
      <c r="A221" s="18"/>
      <c r="B221" s="2"/>
      <c r="C221" s="3"/>
      <c r="D221" s="3"/>
      <c r="E221" s="3"/>
      <c r="F221" s="3"/>
    </row>
    <row r="222" ht="15.75" customHeight="1">
      <c r="A222" s="18"/>
      <c r="B222" s="2"/>
      <c r="C222" s="3"/>
      <c r="D222" s="3"/>
      <c r="E222" s="3"/>
      <c r="F222" s="3"/>
    </row>
    <row r="223" ht="15.75" customHeight="1">
      <c r="A223" s="18"/>
      <c r="B223" s="2"/>
      <c r="C223" s="3"/>
      <c r="D223" s="3"/>
      <c r="E223" s="3"/>
      <c r="F223" s="3"/>
    </row>
    <row r="224" ht="15.75" customHeight="1">
      <c r="A224" s="18"/>
      <c r="B224" s="2"/>
      <c r="C224" s="3"/>
      <c r="D224" s="3"/>
      <c r="E224" s="3"/>
      <c r="F224" s="3"/>
    </row>
    <row r="225" ht="15.75" customHeight="1">
      <c r="A225" s="18"/>
      <c r="B225" s="2"/>
      <c r="C225" s="3"/>
      <c r="D225" s="3"/>
      <c r="E225" s="3"/>
      <c r="F225" s="3"/>
    </row>
    <row r="226" ht="15.75" customHeight="1">
      <c r="A226" s="18"/>
      <c r="B226" s="2"/>
      <c r="C226" s="3"/>
      <c r="D226" s="3"/>
      <c r="E226" s="3"/>
      <c r="F226" s="3"/>
    </row>
    <row r="227" ht="15.75" customHeight="1">
      <c r="A227" s="18"/>
      <c r="B227" s="2"/>
      <c r="C227" s="3"/>
      <c r="D227" s="3"/>
      <c r="E227" s="3"/>
      <c r="F227" s="3"/>
    </row>
    <row r="228" ht="15.75" customHeight="1">
      <c r="A228" s="18"/>
      <c r="B228" s="2"/>
      <c r="C228" s="3"/>
      <c r="D228" s="3"/>
      <c r="E228" s="3"/>
      <c r="F228" s="3"/>
    </row>
    <row r="229" ht="15.75" customHeight="1">
      <c r="A229" s="18"/>
      <c r="B229" s="2"/>
      <c r="C229" s="3"/>
      <c r="D229" s="3"/>
      <c r="E229" s="3"/>
      <c r="F229" s="3"/>
    </row>
    <row r="230" ht="15.75" customHeight="1">
      <c r="A230" s="18"/>
      <c r="B230" s="2"/>
      <c r="C230" s="3"/>
      <c r="D230" s="3"/>
      <c r="E230" s="3"/>
      <c r="F230" s="3"/>
    </row>
    <row r="231" ht="15.75" customHeight="1">
      <c r="A231" s="18"/>
      <c r="B231" s="2"/>
      <c r="C231" s="3"/>
      <c r="D231" s="3"/>
      <c r="E231" s="3"/>
      <c r="F231" s="3"/>
    </row>
    <row r="232" ht="15.75" customHeight="1">
      <c r="A232" s="18"/>
      <c r="B232" s="2"/>
      <c r="C232" s="3"/>
      <c r="D232" s="3"/>
      <c r="E232" s="3"/>
      <c r="F232" s="3"/>
    </row>
    <row r="233" ht="15.75" customHeight="1">
      <c r="A233" s="18"/>
      <c r="B233" s="2"/>
      <c r="C233" s="3"/>
      <c r="D233" s="3"/>
      <c r="E233" s="3"/>
      <c r="F233" s="3"/>
    </row>
    <row r="234" ht="15.75" customHeight="1">
      <c r="A234" s="18"/>
      <c r="B234" s="2"/>
      <c r="C234" s="3"/>
      <c r="D234" s="3"/>
      <c r="E234" s="3"/>
      <c r="F234" s="3"/>
    </row>
    <row r="235" ht="15.75" customHeight="1">
      <c r="A235" s="18"/>
      <c r="B235" s="2"/>
      <c r="C235" s="3"/>
      <c r="D235" s="3"/>
      <c r="E235" s="3"/>
      <c r="F235" s="3"/>
    </row>
    <row r="236" ht="15.75" customHeight="1">
      <c r="A236" s="18"/>
      <c r="B236" s="2"/>
      <c r="C236" s="3"/>
      <c r="D236" s="3"/>
      <c r="E236" s="3"/>
      <c r="F236" s="3"/>
    </row>
    <row r="237" ht="15.75" customHeight="1">
      <c r="A237" s="18"/>
      <c r="B237" s="2"/>
      <c r="C237" s="3"/>
      <c r="D237" s="3"/>
      <c r="E237" s="3"/>
      <c r="F237" s="3"/>
    </row>
    <row r="238" ht="15.75" customHeight="1">
      <c r="A238" s="18"/>
      <c r="B238" s="2"/>
      <c r="C238" s="3"/>
      <c r="D238" s="3"/>
      <c r="E238" s="3"/>
      <c r="F238" s="3"/>
    </row>
    <row r="239" ht="15.75" customHeight="1">
      <c r="A239" s="18"/>
      <c r="B239" s="2"/>
      <c r="C239" s="3"/>
      <c r="D239" s="3"/>
      <c r="E239" s="3"/>
      <c r="F239" s="3"/>
    </row>
    <row r="240" ht="15.75" customHeight="1">
      <c r="A240" s="18"/>
      <c r="B240" s="2"/>
      <c r="C240" s="3"/>
      <c r="D240" s="3"/>
      <c r="E240" s="3"/>
      <c r="F240" s="3"/>
    </row>
    <row r="241" ht="15.75" customHeight="1">
      <c r="A241" s="18"/>
      <c r="B241" s="2"/>
      <c r="C241" s="3"/>
      <c r="D241" s="3"/>
      <c r="E241" s="3"/>
      <c r="F241" s="3"/>
    </row>
    <row r="242" ht="15.75" customHeight="1">
      <c r="A242" s="18"/>
      <c r="B242" s="2"/>
      <c r="C242" s="3"/>
      <c r="D242" s="3"/>
      <c r="E242" s="3"/>
      <c r="F242" s="3"/>
    </row>
    <row r="243" ht="15.75" customHeight="1">
      <c r="A243" s="18"/>
      <c r="B243" s="2"/>
      <c r="C243" s="3"/>
      <c r="D243" s="3"/>
      <c r="E243" s="3"/>
      <c r="F243" s="3"/>
    </row>
    <row r="244" ht="15.75" customHeight="1">
      <c r="A244" s="18"/>
      <c r="B244" s="2"/>
      <c r="C244" s="3"/>
      <c r="D244" s="3"/>
      <c r="E244" s="3"/>
      <c r="F244" s="3"/>
    </row>
    <row r="245" ht="15.75" customHeight="1">
      <c r="A245" s="18"/>
      <c r="B245" s="2"/>
      <c r="C245" s="3"/>
      <c r="D245" s="3"/>
      <c r="E245" s="3"/>
      <c r="F245" s="3"/>
    </row>
    <row r="246" ht="15.75" customHeight="1">
      <c r="A246" s="18"/>
      <c r="B246" s="2"/>
      <c r="C246" s="3"/>
      <c r="D246" s="3"/>
      <c r="E246" s="3"/>
      <c r="F246" s="3"/>
    </row>
    <row r="247" ht="15.75" customHeight="1">
      <c r="A247" s="18"/>
      <c r="B247" s="2"/>
      <c r="C247" s="3"/>
      <c r="D247" s="3"/>
      <c r="E247" s="3"/>
      <c r="F247" s="3"/>
    </row>
    <row r="248" ht="15.75" customHeight="1">
      <c r="A248" s="18"/>
      <c r="B248" s="2"/>
      <c r="C248" s="3"/>
      <c r="D248" s="3"/>
      <c r="E248" s="3"/>
      <c r="F248" s="3"/>
    </row>
    <row r="249" ht="15.75" customHeight="1">
      <c r="A249" s="18"/>
      <c r="B249" s="2"/>
      <c r="C249" s="3"/>
      <c r="D249" s="3"/>
      <c r="E249" s="3"/>
      <c r="F249" s="3"/>
    </row>
    <row r="250" ht="15.75" customHeight="1">
      <c r="A250" s="18"/>
      <c r="B250" s="2"/>
      <c r="C250" s="3"/>
      <c r="D250" s="3"/>
      <c r="E250" s="3"/>
      <c r="F250" s="3"/>
    </row>
    <row r="251" ht="15.75" customHeight="1">
      <c r="A251" s="18"/>
      <c r="B251" s="2"/>
      <c r="C251" s="3"/>
      <c r="D251" s="3"/>
      <c r="E251" s="3"/>
      <c r="F251" s="3"/>
    </row>
    <row r="252" ht="15.75" customHeight="1">
      <c r="A252" s="18"/>
      <c r="B252" s="2"/>
      <c r="C252" s="3"/>
      <c r="D252" s="3"/>
      <c r="E252" s="3"/>
      <c r="F252" s="3"/>
    </row>
    <row r="253" ht="15.75" customHeight="1">
      <c r="A253" s="18"/>
      <c r="B253" s="2"/>
      <c r="C253" s="3"/>
      <c r="D253" s="3"/>
      <c r="E253" s="3"/>
      <c r="F253" s="3"/>
    </row>
    <row r="254" ht="15.75" customHeight="1">
      <c r="A254" s="18"/>
      <c r="B254" s="2"/>
      <c r="C254" s="3"/>
      <c r="D254" s="3"/>
      <c r="E254" s="3"/>
      <c r="F254" s="3"/>
    </row>
    <row r="255" ht="15.75" customHeight="1">
      <c r="A255" s="18"/>
      <c r="B255" s="2"/>
      <c r="C255" s="3"/>
      <c r="D255" s="3"/>
      <c r="E255" s="3"/>
      <c r="F255" s="3"/>
    </row>
    <row r="256" ht="15.75" customHeight="1">
      <c r="A256" s="18"/>
      <c r="B256" s="2"/>
      <c r="C256" s="3"/>
      <c r="D256" s="3"/>
      <c r="E256" s="3"/>
      <c r="F256" s="3"/>
    </row>
    <row r="257" ht="15.75" customHeight="1">
      <c r="A257" s="18"/>
      <c r="B257" s="2"/>
      <c r="C257" s="3"/>
      <c r="D257" s="3"/>
      <c r="E257" s="3"/>
      <c r="F257" s="3"/>
    </row>
    <row r="258" ht="15.75" customHeight="1">
      <c r="A258" s="18"/>
      <c r="B258" s="2"/>
      <c r="C258" s="3"/>
      <c r="D258" s="3"/>
      <c r="E258" s="3"/>
      <c r="F258" s="3"/>
    </row>
    <row r="259" ht="15.75" customHeight="1">
      <c r="A259" s="18"/>
      <c r="B259" s="2"/>
      <c r="C259" s="3"/>
      <c r="D259" s="3"/>
      <c r="E259" s="3"/>
      <c r="F259" s="3"/>
    </row>
    <row r="260" ht="15.75" customHeight="1">
      <c r="A260" s="18"/>
      <c r="B260" s="2"/>
      <c r="C260" s="3"/>
      <c r="D260" s="3"/>
      <c r="E260" s="3"/>
      <c r="F260" s="3"/>
    </row>
    <row r="261" ht="15.75" customHeight="1">
      <c r="A261" s="18"/>
      <c r="B261" s="2"/>
      <c r="C261" s="3"/>
      <c r="D261" s="3"/>
      <c r="E261" s="3"/>
      <c r="F261" s="3"/>
    </row>
    <row r="262" ht="15.75" customHeight="1">
      <c r="A262" s="18"/>
      <c r="B262" s="2"/>
      <c r="C262" s="3"/>
      <c r="D262" s="3"/>
      <c r="E262" s="3"/>
      <c r="F262" s="3"/>
    </row>
    <row r="263" ht="15.75" customHeight="1">
      <c r="A263" s="18"/>
      <c r="B263" s="2"/>
      <c r="C263" s="3"/>
      <c r="D263" s="3"/>
      <c r="E263" s="3"/>
      <c r="F263" s="3"/>
    </row>
    <row r="264" ht="15.75" customHeight="1">
      <c r="A264" s="18"/>
      <c r="B264" s="2"/>
      <c r="C264" s="3"/>
      <c r="D264" s="3"/>
      <c r="E264" s="3"/>
      <c r="F264" s="3"/>
    </row>
    <row r="265" ht="15.75" customHeight="1">
      <c r="A265" s="18"/>
      <c r="B265" s="2"/>
      <c r="C265" s="3"/>
      <c r="D265" s="3"/>
      <c r="E265" s="3"/>
      <c r="F265" s="3"/>
    </row>
    <row r="266" ht="15.75" customHeight="1">
      <c r="A266" s="18"/>
      <c r="B266" s="2"/>
      <c r="C266" s="3"/>
      <c r="D266" s="3"/>
      <c r="E266" s="3"/>
      <c r="F266" s="3"/>
    </row>
    <row r="267" ht="15.75" customHeight="1">
      <c r="A267" s="18"/>
      <c r="B267" s="2"/>
      <c r="C267" s="3"/>
      <c r="D267" s="3"/>
      <c r="E267" s="3"/>
      <c r="F267" s="3"/>
    </row>
    <row r="268" ht="15.75" customHeight="1">
      <c r="A268" s="18"/>
      <c r="B268" s="2"/>
      <c r="C268" s="3"/>
      <c r="D268" s="3"/>
      <c r="E268" s="3"/>
      <c r="F268" s="3"/>
    </row>
    <row r="269" ht="15.75" customHeight="1">
      <c r="A269" s="18"/>
      <c r="B269" s="2"/>
      <c r="C269" s="3"/>
      <c r="D269" s="3"/>
      <c r="E269" s="3"/>
      <c r="F269" s="3"/>
    </row>
    <row r="270" ht="15.75" customHeight="1">
      <c r="A270" s="18"/>
      <c r="B270" s="2"/>
      <c r="C270" s="3"/>
      <c r="D270" s="3"/>
      <c r="E270" s="3"/>
      <c r="F270" s="3"/>
    </row>
    <row r="271" ht="15.75" customHeight="1">
      <c r="A271" s="18"/>
      <c r="B271" s="2"/>
      <c r="C271" s="3"/>
      <c r="D271" s="3"/>
      <c r="E271" s="3"/>
      <c r="F271" s="3"/>
    </row>
    <row r="272" ht="15.75" customHeight="1">
      <c r="A272" s="18"/>
      <c r="B272" s="2"/>
      <c r="C272" s="3"/>
      <c r="D272" s="3"/>
      <c r="E272" s="3"/>
      <c r="F272" s="3"/>
    </row>
    <row r="273" ht="15.75" customHeight="1">
      <c r="A273" s="18"/>
      <c r="B273" s="2"/>
      <c r="C273" s="3"/>
      <c r="D273" s="3"/>
      <c r="E273" s="3"/>
      <c r="F273" s="3"/>
    </row>
    <row r="274" ht="15.75" customHeight="1">
      <c r="A274" s="18"/>
      <c r="B274" s="2"/>
      <c r="C274" s="3"/>
      <c r="D274" s="3"/>
      <c r="E274" s="3"/>
      <c r="F274" s="3"/>
    </row>
    <row r="275" ht="15.75" customHeight="1">
      <c r="A275" s="18"/>
      <c r="B275" s="2"/>
      <c r="C275" s="3"/>
      <c r="D275" s="3"/>
      <c r="E275" s="3"/>
      <c r="F275" s="3"/>
    </row>
    <row r="276" ht="15.75" customHeight="1">
      <c r="A276" s="18"/>
      <c r="B276" s="2"/>
      <c r="C276" s="3"/>
      <c r="D276" s="3"/>
      <c r="E276" s="3"/>
      <c r="F276" s="3"/>
    </row>
    <row r="277" ht="15.75" customHeight="1">
      <c r="A277" s="18"/>
      <c r="B277" s="2"/>
      <c r="C277" s="3"/>
      <c r="D277" s="3"/>
      <c r="E277" s="3"/>
      <c r="F277" s="3"/>
    </row>
    <row r="278" ht="15.75" customHeight="1">
      <c r="A278" s="18"/>
      <c r="B278" s="2"/>
      <c r="C278" s="3"/>
      <c r="D278" s="3"/>
      <c r="E278" s="3"/>
      <c r="F278" s="3"/>
    </row>
    <row r="279" ht="15.75" customHeight="1">
      <c r="A279" s="18"/>
      <c r="B279" s="2"/>
      <c r="C279" s="3"/>
      <c r="D279" s="3"/>
      <c r="E279" s="3"/>
      <c r="F279" s="3"/>
    </row>
    <row r="280" ht="15.75" customHeight="1">
      <c r="A280" s="18"/>
      <c r="B280" s="2"/>
      <c r="C280" s="3"/>
      <c r="D280" s="3"/>
      <c r="E280" s="3"/>
      <c r="F280" s="3"/>
    </row>
    <row r="281" ht="15.75" customHeight="1">
      <c r="A281" s="18"/>
      <c r="B281" s="2"/>
      <c r="C281" s="3"/>
      <c r="D281" s="3"/>
      <c r="E281" s="3"/>
      <c r="F281" s="3"/>
    </row>
    <row r="282" ht="15.75" customHeight="1">
      <c r="A282" s="18"/>
      <c r="B282" s="2"/>
      <c r="C282" s="3"/>
      <c r="D282" s="3"/>
      <c r="E282" s="3"/>
      <c r="F282" s="3"/>
    </row>
    <row r="283" ht="15.75" customHeight="1">
      <c r="A283" s="18"/>
      <c r="B283" s="2"/>
      <c r="C283" s="3"/>
      <c r="D283" s="3"/>
      <c r="E283" s="3"/>
      <c r="F283" s="3"/>
    </row>
    <row r="284" ht="15.75" customHeight="1">
      <c r="A284" s="18"/>
      <c r="B284" s="2"/>
      <c r="C284" s="3"/>
      <c r="D284" s="3"/>
      <c r="E284" s="3"/>
      <c r="F284" s="3"/>
    </row>
    <row r="285" ht="15.75" customHeight="1">
      <c r="A285" s="18"/>
      <c r="B285" s="2"/>
      <c r="C285" s="3"/>
      <c r="D285" s="3"/>
      <c r="E285" s="3"/>
      <c r="F285" s="3"/>
    </row>
    <row r="286" ht="15.75" customHeight="1">
      <c r="A286" s="18"/>
      <c r="B286" s="2"/>
      <c r="C286" s="3"/>
      <c r="D286" s="3"/>
      <c r="E286" s="3"/>
      <c r="F286" s="3"/>
    </row>
    <row r="287" ht="15.75" customHeight="1">
      <c r="A287" s="18"/>
      <c r="B287" s="2"/>
      <c r="C287" s="3"/>
      <c r="D287" s="3"/>
      <c r="E287" s="3"/>
      <c r="F287" s="3"/>
    </row>
    <row r="288" ht="15.75" customHeight="1">
      <c r="A288" s="18"/>
      <c r="B288" s="2"/>
      <c r="C288" s="3"/>
      <c r="D288" s="3"/>
      <c r="E288" s="3"/>
      <c r="F288" s="3"/>
    </row>
    <row r="289" ht="15.75" customHeight="1">
      <c r="A289" s="18"/>
      <c r="B289" s="2"/>
      <c r="C289" s="3"/>
      <c r="D289" s="3"/>
      <c r="E289" s="3"/>
      <c r="F289" s="3"/>
    </row>
    <row r="290" ht="15.75" customHeight="1">
      <c r="A290" s="18"/>
      <c r="B290" s="2"/>
      <c r="C290" s="3"/>
      <c r="D290" s="3"/>
      <c r="E290" s="3"/>
      <c r="F290" s="3"/>
    </row>
    <row r="291" ht="15.75" customHeight="1">
      <c r="A291" s="18"/>
      <c r="B291" s="2"/>
      <c r="C291" s="3"/>
      <c r="D291" s="3"/>
      <c r="E291" s="3"/>
      <c r="F291" s="3"/>
    </row>
    <row r="292" ht="15.75" customHeight="1">
      <c r="A292" s="18"/>
      <c r="B292" s="2"/>
      <c r="C292" s="3"/>
      <c r="D292" s="3"/>
      <c r="E292" s="3"/>
      <c r="F292" s="3"/>
    </row>
    <row r="293" ht="15.75" customHeight="1">
      <c r="A293" s="18"/>
      <c r="B293" s="2"/>
      <c r="C293" s="3"/>
      <c r="D293" s="3"/>
      <c r="E293" s="3"/>
      <c r="F293" s="3"/>
    </row>
    <row r="294" ht="15.75" customHeight="1">
      <c r="A294" s="18"/>
      <c r="B294" s="2"/>
      <c r="C294" s="3"/>
      <c r="D294" s="3"/>
      <c r="E294" s="3"/>
      <c r="F294" s="3"/>
    </row>
    <row r="295" ht="15.75" customHeight="1">
      <c r="A295" s="18"/>
      <c r="B295" s="2"/>
      <c r="C295" s="3"/>
      <c r="D295" s="3"/>
      <c r="E295" s="3"/>
      <c r="F295" s="3"/>
    </row>
    <row r="296" ht="15.75" customHeight="1">
      <c r="A296" s="18"/>
      <c r="B296" s="2"/>
      <c r="C296" s="3"/>
      <c r="D296" s="3"/>
      <c r="E296" s="3"/>
      <c r="F296" s="3"/>
    </row>
    <row r="297" ht="15.75" customHeight="1">
      <c r="A297" s="18"/>
      <c r="B297" s="2"/>
      <c r="C297" s="3"/>
      <c r="D297" s="3"/>
      <c r="E297" s="3"/>
      <c r="F297" s="3"/>
    </row>
    <row r="298" ht="15.75" customHeight="1">
      <c r="A298" s="18"/>
      <c r="B298" s="2"/>
      <c r="C298" s="3"/>
      <c r="D298" s="3"/>
      <c r="E298" s="3"/>
      <c r="F298" s="3"/>
    </row>
    <row r="299" ht="15.75" customHeight="1">
      <c r="A299" s="18"/>
      <c r="B299" s="2"/>
      <c r="C299" s="3"/>
      <c r="D299" s="3"/>
      <c r="E299" s="3"/>
      <c r="F299" s="3"/>
    </row>
    <row r="300" ht="15.75" customHeight="1">
      <c r="A300" s="18"/>
      <c r="B300" s="2"/>
      <c r="C300" s="3"/>
      <c r="D300" s="3"/>
      <c r="E300" s="3"/>
      <c r="F300" s="3"/>
    </row>
    <row r="301" ht="15.75" customHeight="1">
      <c r="A301" s="18"/>
      <c r="B301" s="2"/>
      <c r="C301" s="3"/>
      <c r="D301" s="3"/>
      <c r="E301" s="3"/>
      <c r="F301" s="3"/>
    </row>
    <row r="302" ht="15.75" customHeight="1">
      <c r="A302" s="18"/>
      <c r="B302" s="2"/>
      <c r="C302" s="3"/>
      <c r="D302" s="3"/>
      <c r="E302" s="3"/>
      <c r="F302" s="3"/>
    </row>
    <row r="303" ht="15.75" customHeight="1">
      <c r="A303" s="18"/>
      <c r="B303" s="2"/>
      <c r="C303" s="3"/>
      <c r="D303" s="3"/>
      <c r="E303" s="3"/>
      <c r="F303" s="3"/>
    </row>
    <row r="304" ht="15.75" customHeight="1">
      <c r="A304" s="18"/>
      <c r="B304" s="2"/>
      <c r="C304" s="3"/>
      <c r="D304" s="3"/>
      <c r="E304" s="3"/>
      <c r="F304" s="3"/>
    </row>
    <row r="305" ht="15.75" customHeight="1">
      <c r="A305" s="18"/>
      <c r="B305" s="2"/>
      <c r="C305" s="3"/>
      <c r="D305" s="3"/>
      <c r="E305" s="3"/>
      <c r="F305" s="3"/>
    </row>
    <row r="306" ht="15.75" customHeight="1">
      <c r="A306" s="18"/>
      <c r="B306" s="2"/>
      <c r="C306" s="3"/>
      <c r="D306" s="3"/>
      <c r="E306" s="3"/>
      <c r="F306" s="3"/>
    </row>
    <row r="307" ht="15.75" customHeight="1">
      <c r="A307" s="18"/>
      <c r="B307" s="2"/>
      <c r="C307" s="3"/>
      <c r="D307" s="3"/>
      <c r="E307" s="3"/>
      <c r="F307" s="3"/>
    </row>
    <row r="308" ht="15.75" customHeight="1">
      <c r="A308" s="18"/>
      <c r="B308" s="2"/>
      <c r="C308" s="3"/>
      <c r="D308" s="3"/>
      <c r="E308" s="3"/>
      <c r="F308" s="3"/>
    </row>
    <row r="309" ht="15.75" customHeight="1">
      <c r="A309" s="18"/>
      <c r="B309" s="2"/>
      <c r="C309" s="3"/>
      <c r="D309" s="3"/>
      <c r="E309" s="3"/>
      <c r="F309" s="3"/>
    </row>
    <row r="310" ht="15.75" customHeight="1">
      <c r="A310" s="18"/>
      <c r="B310" s="2"/>
      <c r="C310" s="3"/>
      <c r="D310" s="3"/>
      <c r="E310" s="3"/>
      <c r="F310" s="3"/>
    </row>
    <row r="311" ht="15.75" customHeight="1">
      <c r="A311" s="18"/>
      <c r="B311" s="2"/>
      <c r="C311" s="3"/>
      <c r="D311" s="3"/>
      <c r="E311" s="3"/>
      <c r="F311" s="3"/>
    </row>
    <row r="312" ht="15.75" customHeight="1">
      <c r="A312" s="18"/>
      <c r="B312" s="2"/>
      <c r="C312" s="3"/>
      <c r="D312" s="3"/>
      <c r="E312" s="3"/>
      <c r="F312" s="3"/>
    </row>
    <row r="313" ht="15.75" customHeight="1">
      <c r="A313" s="18"/>
      <c r="B313" s="2"/>
      <c r="C313" s="3"/>
      <c r="D313" s="3"/>
      <c r="E313" s="3"/>
      <c r="F313" s="3"/>
    </row>
    <row r="314" ht="15.75" customHeight="1">
      <c r="A314" s="18"/>
      <c r="B314" s="2"/>
      <c r="C314" s="3"/>
      <c r="D314" s="3"/>
      <c r="E314" s="3"/>
      <c r="F314" s="3"/>
    </row>
    <row r="315" ht="15.75" customHeight="1">
      <c r="A315" s="18"/>
      <c r="B315" s="2"/>
      <c r="C315" s="3"/>
      <c r="D315" s="3"/>
      <c r="E315" s="3"/>
      <c r="F315" s="3"/>
    </row>
    <row r="316" ht="15.75" customHeight="1">
      <c r="A316" s="18"/>
      <c r="B316" s="2"/>
      <c r="C316" s="3"/>
      <c r="D316" s="3"/>
      <c r="E316" s="3"/>
      <c r="F316" s="3"/>
    </row>
    <row r="317" ht="15.75" customHeight="1">
      <c r="A317" s="18"/>
      <c r="B317" s="2"/>
      <c r="C317" s="3"/>
      <c r="D317" s="3"/>
      <c r="E317" s="3"/>
      <c r="F317" s="3"/>
    </row>
    <row r="318" ht="15.75" customHeight="1">
      <c r="A318" s="18"/>
      <c r="B318" s="2"/>
      <c r="C318" s="3"/>
      <c r="D318" s="3"/>
      <c r="E318" s="3"/>
      <c r="F318" s="3"/>
    </row>
    <row r="319" ht="15.75" customHeight="1">
      <c r="A319" s="18"/>
      <c r="B319" s="2"/>
      <c r="C319" s="3"/>
      <c r="D319" s="3"/>
      <c r="E319" s="3"/>
      <c r="F319" s="3"/>
    </row>
    <row r="320" ht="15.75" customHeight="1">
      <c r="A320" s="18"/>
      <c r="B320" s="2"/>
      <c r="C320" s="3"/>
      <c r="D320" s="3"/>
      <c r="E320" s="3"/>
      <c r="F320" s="3"/>
    </row>
    <row r="321" ht="15.75" customHeight="1">
      <c r="A321" s="18"/>
      <c r="B321" s="2"/>
      <c r="C321" s="3"/>
      <c r="D321" s="3"/>
      <c r="E321" s="3"/>
      <c r="F321" s="3"/>
    </row>
    <row r="322" ht="15.75" customHeight="1">
      <c r="A322" s="18"/>
      <c r="B322" s="2"/>
      <c r="C322" s="3"/>
      <c r="D322" s="3"/>
      <c r="E322" s="3"/>
      <c r="F322" s="3"/>
    </row>
    <row r="323" ht="15.75" customHeight="1">
      <c r="A323" s="18"/>
      <c r="B323" s="2"/>
      <c r="C323" s="3"/>
      <c r="D323" s="3"/>
      <c r="E323" s="3"/>
      <c r="F323" s="3"/>
    </row>
    <row r="324" ht="15.75" customHeight="1">
      <c r="A324" s="18"/>
      <c r="B324" s="2"/>
      <c r="C324" s="3"/>
      <c r="D324" s="3"/>
      <c r="E324" s="3"/>
      <c r="F324" s="3"/>
    </row>
    <row r="325" ht="15.75" customHeight="1">
      <c r="A325" s="18"/>
      <c r="B325" s="2"/>
      <c r="C325" s="3"/>
      <c r="D325" s="3"/>
      <c r="E325" s="3"/>
      <c r="F325" s="3"/>
    </row>
    <row r="326" ht="15.75" customHeight="1">
      <c r="A326" s="18"/>
      <c r="B326" s="2"/>
      <c r="C326" s="3"/>
      <c r="D326" s="3"/>
      <c r="E326" s="3"/>
      <c r="F326" s="3"/>
    </row>
    <row r="327" ht="15.75" customHeight="1">
      <c r="A327" s="18"/>
      <c r="B327" s="2"/>
      <c r="C327" s="3"/>
      <c r="D327" s="3"/>
      <c r="E327" s="3"/>
      <c r="F327" s="3"/>
    </row>
    <row r="328" ht="15.75" customHeight="1">
      <c r="A328" s="18"/>
      <c r="B328" s="2"/>
      <c r="C328" s="3"/>
      <c r="D328" s="3"/>
      <c r="E328" s="3"/>
      <c r="F328" s="3"/>
    </row>
    <row r="329" ht="15.75" customHeight="1">
      <c r="A329" s="18"/>
      <c r="B329" s="2"/>
      <c r="C329" s="3"/>
      <c r="D329" s="3"/>
      <c r="E329" s="3"/>
      <c r="F329" s="3"/>
    </row>
    <row r="330" ht="15.75" customHeight="1">
      <c r="A330" s="18"/>
      <c r="B330" s="2"/>
      <c r="C330" s="3"/>
      <c r="D330" s="3"/>
      <c r="E330" s="3"/>
      <c r="F330" s="3"/>
    </row>
    <row r="331" ht="15.75" customHeight="1">
      <c r="A331" s="18"/>
      <c r="B331" s="2"/>
      <c r="C331" s="3"/>
      <c r="D331" s="3"/>
      <c r="E331" s="3"/>
      <c r="F331" s="3"/>
    </row>
    <row r="332" ht="15.75" customHeight="1">
      <c r="A332" s="18"/>
      <c r="B332" s="2"/>
      <c r="C332" s="3"/>
      <c r="D332" s="3"/>
      <c r="E332" s="3"/>
      <c r="F332" s="3"/>
    </row>
    <row r="333" ht="15.75" customHeight="1">
      <c r="A333" s="18"/>
      <c r="B333" s="2"/>
      <c r="C333" s="3"/>
      <c r="D333" s="3"/>
      <c r="E333" s="3"/>
      <c r="F333" s="3"/>
    </row>
    <row r="334" ht="15.75" customHeight="1">
      <c r="A334" s="18"/>
      <c r="B334" s="2"/>
      <c r="C334" s="3"/>
      <c r="D334" s="3"/>
      <c r="E334" s="3"/>
      <c r="F334" s="3"/>
    </row>
    <row r="335" ht="15.75" customHeight="1">
      <c r="A335" s="18"/>
      <c r="B335" s="2"/>
      <c r="C335" s="3"/>
      <c r="D335" s="3"/>
      <c r="E335" s="3"/>
      <c r="F335" s="3"/>
    </row>
    <row r="336" ht="15.75" customHeight="1">
      <c r="A336" s="18"/>
      <c r="B336" s="2"/>
      <c r="C336" s="3"/>
      <c r="D336" s="3"/>
      <c r="E336" s="3"/>
      <c r="F336" s="3"/>
    </row>
    <row r="337" ht="15.75" customHeight="1">
      <c r="A337" s="18"/>
      <c r="B337" s="2"/>
      <c r="C337" s="3"/>
      <c r="D337" s="3"/>
      <c r="E337" s="3"/>
      <c r="F337" s="3"/>
    </row>
    <row r="338" ht="15.75" customHeight="1">
      <c r="A338" s="18"/>
      <c r="B338" s="2"/>
      <c r="C338" s="3"/>
      <c r="D338" s="3"/>
      <c r="E338" s="3"/>
      <c r="F338" s="3"/>
    </row>
    <row r="339" ht="15.75" customHeight="1">
      <c r="A339" s="18"/>
      <c r="B339" s="2"/>
      <c r="C339" s="3"/>
      <c r="D339" s="3"/>
      <c r="E339" s="3"/>
      <c r="F339" s="3"/>
    </row>
    <row r="340" ht="15.75" customHeight="1">
      <c r="A340" s="18"/>
      <c r="B340" s="2"/>
      <c r="C340" s="3"/>
      <c r="D340" s="3"/>
      <c r="E340" s="3"/>
      <c r="F340" s="3"/>
    </row>
    <row r="341" ht="15.75" customHeight="1">
      <c r="A341" s="18"/>
      <c r="B341" s="2"/>
      <c r="C341" s="3"/>
      <c r="D341" s="3"/>
      <c r="E341" s="3"/>
      <c r="F341" s="3"/>
    </row>
    <row r="342" ht="15.75" customHeight="1">
      <c r="A342" s="18"/>
      <c r="B342" s="2"/>
      <c r="C342" s="3"/>
      <c r="D342" s="3"/>
      <c r="E342" s="3"/>
      <c r="F342" s="3"/>
    </row>
    <row r="343" ht="15.75" customHeight="1">
      <c r="A343" s="18"/>
      <c r="B343" s="2"/>
      <c r="C343" s="3"/>
      <c r="D343" s="3"/>
      <c r="E343" s="3"/>
      <c r="F343" s="3"/>
    </row>
    <row r="344" ht="15.75" customHeight="1">
      <c r="A344" s="18"/>
      <c r="B344" s="2"/>
      <c r="C344" s="3"/>
      <c r="D344" s="3"/>
      <c r="E344" s="3"/>
      <c r="F344" s="3"/>
    </row>
    <row r="345" ht="15.75" customHeight="1">
      <c r="A345" s="18"/>
      <c r="B345" s="2"/>
      <c r="C345" s="3"/>
      <c r="D345" s="3"/>
      <c r="E345" s="3"/>
      <c r="F345" s="3"/>
    </row>
    <row r="346" ht="15.75" customHeight="1">
      <c r="A346" s="18"/>
      <c r="B346" s="2"/>
      <c r="C346" s="3"/>
      <c r="D346" s="3"/>
      <c r="E346" s="3"/>
      <c r="F346" s="3"/>
    </row>
    <row r="347" ht="15.75" customHeight="1">
      <c r="A347" s="18"/>
      <c r="B347" s="2"/>
      <c r="C347" s="3"/>
      <c r="D347" s="3"/>
      <c r="E347" s="3"/>
      <c r="F347" s="3"/>
    </row>
    <row r="348" ht="15.75" customHeight="1">
      <c r="A348" s="18"/>
      <c r="B348" s="2"/>
      <c r="C348" s="3"/>
      <c r="D348" s="3"/>
      <c r="E348" s="3"/>
      <c r="F348" s="3"/>
    </row>
    <row r="349" ht="15.75" customHeight="1">
      <c r="A349" s="18"/>
      <c r="B349" s="2"/>
      <c r="C349" s="3"/>
      <c r="D349" s="3"/>
      <c r="E349" s="3"/>
      <c r="F349" s="3"/>
    </row>
    <row r="350" ht="15.75" customHeight="1">
      <c r="A350" s="18"/>
      <c r="B350" s="2"/>
      <c r="C350" s="3"/>
      <c r="D350" s="3"/>
      <c r="E350" s="3"/>
      <c r="F350" s="3"/>
    </row>
    <row r="351" ht="15.75" customHeight="1">
      <c r="A351" s="18"/>
      <c r="B351" s="2"/>
      <c r="C351" s="3"/>
      <c r="D351" s="3"/>
      <c r="E351" s="3"/>
      <c r="F351" s="3"/>
    </row>
    <row r="352" ht="15.75" customHeight="1">
      <c r="A352" s="18"/>
      <c r="B352" s="2"/>
      <c r="C352" s="3"/>
      <c r="D352" s="3"/>
      <c r="E352" s="3"/>
      <c r="F352" s="3"/>
    </row>
    <row r="353" ht="15.75" customHeight="1">
      <c r="A353" s="18"/>
      <c r="B353" s="2"/>
      <c r="C353" s="3"/>
      <c r="D353" s="3"/>
      <c r="E353" s="3"/>
      <c r="F353" s="3"/>
    </row>
    <row r="354" ht="15.75" customHeight="1">
      <c r="A354" s="18"/>
      <c r="B354" s="2"/>
      <c r="C354" s="3"/>
      <c r="D354" s="3"/>
      <c r="E354" s="3"/>
      <c r="F354" s="3"/>
    </row>
    <row r="355" ht="15.75" customHeight="1">
      <c r="A355" s="18"/>
      <c r="B355" s="2"/>
      <c r="C355" s="3"/>
      <c r="D355" s="3"/>
      <c r="E355" s="3"/>
      <c r="F355" s="3"/>
    </row>
    <row r="356" ht="15.75" customHeight="1">
      <c r="A356" s="18"/>
      <c r="B356" s="2"/>
      <c r="C356" s="3"/>
      <c r="D356" s="3"/>
      <c r="E356" s="3"/>
      <c r="F356" s="3"/>
    </row>
    <row r="357" ht="15.75" customHeight="1">
      <c r="A357" s="18"/>
      <c r="B357" s="2"/>
      <c r="C357" s="3"/>
      <c r="D357" s="3"/>
      <c r="E357" s="3"/>
      <c r="F357" s="3"/>
    </row>
    <row r="358" ht="15.75" customHeight="1">
      <c r="A358" s="18"/>
      <c r="B358" s="2"/>
      <c r="C358" s="3"/>
      <c r="D358" s="3"/>
      <c r="E358" s="3"/>
      <c r="F358" s="3"/>
    </row>
    <row r="359" ht="15.75" customHeight="1">
      <c r="A359" s="18"/>
      <c r="B359" s="2"/>
      <c r="C359" s="3"/>
      <c r="D359" s="3"/>
      <c r="E359" s="3"/>
      <c r="F359" s="3"/>
    </row>
    <row r="360" ht="15.75" customHeight="1">
      <c r="A360" s="18"/>
      <c r="B360" s="2"/>
      <c r="C360" s="3"/>
      <c r="D360" s="3"/>
      <c r="E360" s="3"/>
      <c r="F360" s="3"/>
    </row>
    <row r="361" ht="15.75" customHeight="1">
      <c r="A361" s="18"/>
      <c r="B361" s="2"/>
      <c r="C361" s="3"/>
      <c r="D361" s="3"/>
      <c r="E361" s="3"/>
      <c r="F361" s="3"/>
    </row>
    <row r="362" ht="15.75" customHeight="1">
      <c r="A362" s="18"/>
      <c r="B362" s="2"/>
      <c r="C362" s="3"/>
      <c r="D362" s="3"/>
      <c r="E362" s="3"/>
      <c r="F362" s="3"/>
    </row>
    <row r="363" ht="15.75" customHeight="1">
      <c r="A363" s="18"/>
      <c r="B363" s="2"/>
      <c r="C363" s="3"/>
      <c r="D363" s="3"/>
      <c r="E363" s="3"/>
      <c r="F363" s="3"/>
    </row>
    <row r="364" ht="15.75" customHeight="1">
      <c r="A364" s="18"/>
      <c r="B364" s="2"/>
      <c r="C364" s="3"/>
      <c r="D364" s="3"/>
      <c r="E364" s="3"/>
      <c r="F364" s="3"/>
    </row>
    <row r="365" ht="15.75" customHeight="1">
      <c r="A365" s="18"/>
      <c r="B365" s="2"/>
      <c r="C365" s="3"/>
      <c r="D365" s="3"/>
      <c r="E365" s="3"/>
      <c r="F365" s="3"/>
    </row>
    <row r="366" ht="15.75" customHeight="1">
      <c r="A366" s="18"/>
      <c r="B366" s="2"/>
      <c r="C366" s="3"/>
      <c r="D366" s="3"/>
      <c r="E366" s="3"/>
      <c r="F366" s="3"/>
    </row>
    <row r="367" ht="15.75" customHeight="1">
      <c r="A367" s="18"/>
      <c r="B367" s="2"/>
      <c r="C367" s="3"/>
      <c r="D367" s="3"/>
      <c r="E367" s="3"/>
      <c r="F367" s="3"/>
    </row>
    <row r="368" ht="15.75" customHeight="1">
      <c r="A368" s="18"/>
      <c r="B368" s="2"/>
      <c r="C368" s="3"/>
      <c r="D368" s="3"/>
      <c r="E368" s="3"/>
      <c r="F368" s="3"/>
    </row>
    <row r="369" ht="15.75" customHeight="1">
      <c r="A369" s="18"/>
      <c r="B369" s="2"/>
      <c r="C369" s="3"/>
      <c r="D369" s="3"/>
      <c r="E369" s="3"/>
      <c r="F369" s="3"/>
    </row>
    <row r="370" ht="15.75" customHeight="1">
      <c r="A370" s="18"/>
      <c r="B370" s="2"/>
      <c r="C370" s="3"/>
      <c r="D370" s="3"/>
      <c r="E370" s="3"/>
      <c r="F370" s="3"/>
    </row>
    <row r="371" ht="15.75" customHeight="1">
      <c r="A371" s="18"/>
      <c r="B371" s="2"/>
      <c r="C371" s="3"/>
      <c r="D371" s="3"/>
      <c r="E371" s="3"/>
      <c r="F371" s="3"/>
    </row>
    <row r="372" ht="15.75" customHeight="1">
      <c r="A372" s="18"/>
      <c r="B372" s="2"/>
      <c r="C372" s="3"/>
      <c r="D372" s="3"/>
      <c r="E372" s="3"/>
      <c r="F372" s="3"/>
    </row>
    <row r="373" ht="15.75" customHeight="1">
      <c r="A373" s="18"/>
      <c r="B373" s="2"/>
      <c r="C373" s="3"/>
      <c r="D373" s="3"/>
      <c r="E373" s="3"/>
      <c r="F373" s="3"/>
    </row>
    <row r="374" ht="15.75" customHeight="1">
      <c r="A374" s="18"/>
      <c r="B374" s="2"/>
      <c r="C374" s="3"/>
      <c r="D374" s="3"/>
      <c r="E374" s="3"/>
      <c r="F374" s="3"/>
    </row>
    <row r="375" ht="15.75" customHeight="1">
      <c r="A375" s="18"/>
      <c r="B375" s="2"/>
      <c r="C375" s="3"/>
      <c r="D375" s="3"/>
      <c r="E375" s="3"/>
      <c r="F375" s="3"/>
    </row>
    <row r="376" ht="15.75" customHeight="1">
      <c r="A376" s="18"/>
      <c r="B376" s="2"/>
      <c r="C376" s="3"/>
      <c r="D376" s="3"/>
      <c r="E376" s="3"/>
      <c r="F376" s="3"/>
    </row>
    <row r="377" ht="15.75" customHeight="1">
      <c r="A377" s="18"/>
      <c r="B377" s="2"/>
      <c r="C377" s="3"/>
      <c r="D377" s="3"/>
      <c r="E377" s="3"/>
      <c r="F377" s="3"/>
    </row>
    <row r="378" ht="15.75" customHeight="1">
      <c r="A378" s="18"/>
      <c r="B378" s="2"/>
      <c r="C378" s="3"/>
      <c r="D378" s="3"/>
      <c r="E378" s="3"/>
      <c r="F378" s="3"/>
    </row>
    <row r="379" ht="15.75" customHeight="1">
      <c r="A379" s="18"/>
      <c r="B379" s="2"/>
      <c r="C379" s="3"/>
      <c r="D379" s="3"/>
      <c r="E379" s="3"/>
      <c r="F379" s="3"/>
    </row>
    <row r="380" ht="15.75" customHeight="1">
      <c r="A380" s="18"/>
      <c r="B380" s="2"/>
      <c r="C380" s="3"/>
      <c r="D380" s="3"/>
      <c r="E380" s="3"/>
      <c r="F380" s="3"/>
    </row>
    <row r="381" ht="15.75" customHeight="1">
      <c r="A381" s="18"/>
      <c r="B381" s="2"/>
      <c r="C381" s="3"/>
      <c r="D381" s="3"/>
      <c r="E381" s="3"/>
      <c r="F381" s="3"/>
    </row>
    <row r="382" ht="15.75" customHeight="1">
      <c r="A382" s="18"/>
      <c r="B382" s="2"/>
      <c r="C382" s="3"/>
      <c r="D382" s="3"/>
      <c r="E382" s="3"/>
      <c r="F382" s="3"/>
    </row>
    <row r="383" ht="15.75" customHeight="1">
      <c r="A383" s="18"/>
      <c r="B383" s="2"/>
      <c r="C383" s="3"/>
      <c r="D383" s="3"/>
      <c r="E383" s="3"/>
      <c r="F383" s="3"/>
    </row>
    <row r="384" ht="15.75" customHeight="1">
      <c r="A384" s="18"/>
      <c r="B384" s="2"/>
      <c r="C384" s="3"/>
      <c r="D384" s="3"/>
      <c r="E384" s="3"/>
      <c r="F384" s="3"/>
    </row>
    <row r="385" ht="15.75" customHeight="1">
      <c r="A385" s="18"/>
      <c r="B385" s="2"/>
      <c r="C385" s="3"/>
      <c r="D385" s="3"/>
      <c r="E385" s="3"/>
      <c r="F385" s="3"/>
    </row>
    <row r="386" ht="15.75" customHeight="1">
      <c r="A386" s="18"/>
      <c r="B386" s="2"/>
      <c r="C386" s="3"/>
      <c r="D386" s="3"/>
      <c r="E386" s="3"/>
      <c r="F386" s="3"/>
    </row>
    <row r="387" ht="15.75" customHeight="1">
      <c r="A387" s="18"/>
      <c r="B387" s="2"/>
      <c r="C387" s="3"/>
      <c r="D387" s="3"/>
      <c r="E387" s="3"/>
      <c r="F387" s="3"/>
    </row>
    <row r="388" ht="15.75" customHeight="1">
      <c r="A388" s="18"/>
      <c r="B388" s="2"/>
      <c r="C388" s="3"/>
      <c r="D388" s="3"/>
      <c r="E388" s="3"/>
      <c r="F388" s="3"/>
    </row>
    <row r="389" ht="15.75" customHeight="1">
      <c r="A389" s="18"/>
      <c r="B389" s="2"/>
      <c r="C389" s="3"/>
      <c r="D389" s="3"/>
      <c r="E389" s="3"/>
      <c r="F389" s="3"/>
    </row>
    <row r="390" ht="15.75" customHeight="1">
      <c r="A390" s="18"/>
      <c r="B390" s="2"/>
      <c r="C390" s="3"/>
      <c r="D390" s="3"/>
      <c r="E390" s="3"/>
      <c r="F390" s="3"/>
    </row>
    <row r="391" ht="15.75" customHeight="1">
      <c r="A391" s="18"/>
      <c r="B391" s="2"/>
      <c r="C391" s="3"/>
      <c r="D391" s="3"/>
      <c r="E391" s="3"/>
      <c r="F391" s="3"/>
    </row>
    <row r="392" ht="15.75" customHeight="1">
      <c r="A392" s="18"/>
      <c r="B392" s="2"/>
      <c r="C392" s="3"/>
      <c r="D392" s="3"/>
      <c r="E392" s="3"/>
      <c r="F392" s="3"/>
    </row>
    <row r="393" ht="15.75" customHeight="1">
      <c r="A393" s="18"/>
      <c r="B393" s="2"/>
      <c r="C393" s="3"/>
      <c r="D393" s="3"/>
      <c r="E393" s="3"/>
      <c r="F393" s="3"/>
    </row>
    <row r="394" ht="15.75" customHeight="1">
      <c r="A394" s="18"/>
      <c r="B394" s="2"/>
      <c r="C394" s="3"/>
      <c r="D394" s="3"/>
      <c r="E394" s="3"/>
      <c r="F394" s="3"/>
    </row>
    <row r="395" ht="15.75" customHeight="1">
      <c r="A395" s="18"/>
      <c r="B395" s="2"/>
      <c r="C395" s="3"/>
      <c r="D395" s="3"/>
      <c r="E395" s="3"/>
      <c r="F395" s="3"/>
    </row>
    <row r="396" ht="15.75" customHeight="1">
      <c r="A396" s="18"/>
      <c r="B396" s="2"/>
      <c r="C396" s="3"/>
      <c r="D396" s="3"/>
      <c r="E396" s="3"/>
      <c r="F396" s="3"/>
    </row>
    <row r="397" ht="15.75" customHeight="1">
      <c r="A397" s="18"/>
      <c r="B397" s="2"/>
      <c r="C397" s="3"/>
      <c r="D397" s="3"/>
      <c r="E397" s="3"/>
      <c r="F397" s="3"/>
    </row>
    <row r="398" ht="15.75" customHeight="1">
      <c r="A398" s="18"/>
      <c r="B398" s="2"/>
      <c r="C398" s="3"/>
      <c r="D398" s="3"/>
      <c r="E398" s="3"/>
      <c r="F398" s="3"/>
    </row>
    <row r="399" ht="15.75" customHeight="1">
      <c r="A399" s="18"/>
      <c r="B399" s="2"/>
      <c r="C399" s="3"/>
      <c r="D399" s="3"/>
      <c r="E399" s="3"/>
      <c r="F399" s="3"/>
    </row>
    <row r="400" ht="15.75" customHeight="1">
      <c r="A400" s="18"/>
      <c r="B400" s="2"/>
      <c r="C400" s="3"/>
      <c r="D400" s="3"/>
      <c r="E400" s="3"/>
      <c r="F400" s="3"/>
    </row>
    <row r="401" ht="15.75" customHeight="1">
      <c r="A401" s="18"/>
      <c r="B401" s="2"/>
      <c r="C401" s="3"/>
      <c r="D401" s="3"/>
      <c r="E401" s="3"/>
      <c r="F401" s="3"/>
    </row>
    <row r="402" ht="15.75" customHeight="1">
      <c r="A402" s="18"/>
      <c r="B402" s="2"/>
      <c r="C402" s="3"/>
      <c r="D402" s="3"/>
      <c r="E402" s="3"/>
      <c r="F402" s="3"/>
    </row>
    <row r="403" ht="15.75" customHeight="1">
      <c r="A403" s="18"/>
      <c r="B403" s="2"/>
      <c r="C403" s="3"/>
      <c r="D403" s="3"/>
      <c r="E403" s="3"/>
      <c r="F403" s="3"/>
    </row>
    <row r="404" ht="15.75" customHeight="1">
      <c r="A404" s="18"/>
      <c r="B404" s="2"/>
      <c r="C404" s="3"/>
      <c r="D404" s="3"/>
      <c r="E404" s="3"/>
      <c r="F404" s="3"/>
    </row>
    <row r="405" ht="15.75" customHeight="1">
      <c r="A405" s="18"/>
      <c r="B405" s="2"/>
      <c r="C405" s="3"/>
      <c r="D405" s="3"/>
      <c r="E405" s="3"/>
      <c r="F405" s="3"/>
    </row>
    <row r="406" ht="15.75" customHeight="1">
      <c r="A406" s="18"/>
      <c r="B406" s="2"/>
      <c r="C406" s="3"/>
      <c r="D406" s="3"/>
      <c r="E406" s="3"/>
      <c r="F406" s="3"/>
    </row>
    <row r="407" ht="15.75" customHeight="1">
      <c r="A407" s="18"/>
      <c r="B407" s="2"/>
      <c r="C407" s="3"/>
      <c r="D407" s="3"/>
      <c r="E407" s="3"/>
      <c r="F407" s="3"/>
    </row>
    <row r="408" ht="15.75" customHeight="1">
      <c r="A408" s="18"/>
      <c r="B408" s="2"/>
      <c r="C408" s="3"/>
      <c r="D408" s="3"/>
      <c r="E408" s="3"/>
      <c r="F408" s="3"/>
    </row>
    <row r="409" ht="15.75" customHeight="1">
      <c r="A409" s="18"/>
      <c r="B409" s="2"/>
      <c r="C409" s="3"/>
      <c r="D409" s="3"/>
      <c r="E409" s="3"/>
      <c r="F409" s="3"/>
    </row>
    <row r="410" ht="15.75" customHeight="1">
      <c r="A410" s="18"/>
      <c r="B410" s="2"/>
      <c r="C410" s="3"/>
      <c r="D410" s="3"/>
      <c r="E410" s="3"/>
      <c r="F410" s="3"/>
    </row>
    <row r="411" ht="15.75" customHeight="1">
      <c r="A411" s="18"/>
      <c r="B411" s="2"/>
      <c r="C411" s="3"/>
      <c r="D411" s="3"/>
      <c r="E411" s="3"/>
      <c r="F411" s="3"/>
    </row>
    <row r="412" ht="15.75" customHeight="1">
      <c r="A412" s="18"/>
      <c r="B412" s="2"/>
      <c r="C412" s="3"/>
      <c r="D412" s="3"/>
      <c r="E412" s="3"/>
      <c r="F412" s="3"/>
    </row>
    <row r="413" ht="15.75" customHeight="1">
      <c r="A413" s="18"/>
      <c r="B413" s="2"/>
      <c r="C413" s="3"/>
      <c r="D413" s="3"/>
      <c r="E413" s="3"/>
      <c r="F413" s="3"/>
    </row>
    <row r="414" ht="15.75" customHeight="1">
      <c r="A414" s="18"/>
      <c r="B414" s="2"/>
      <c r="C414" s="3"/>
      <c r="D414" s="3"/>
      <c r="E414" s="3"/>
      <c r="F414" s="3"/>
    </row>
    <row r="415" ht="15.75" customHeight="1">
      <c r="A415" s="18"/>
      <c r="B415" s="2"/>
      <c r="C415" s="3"/>
      <c r="D415" s="3"/>
      <c r="E415" s="3"/>
      <c r="F415" s="3"/>
    </row>
    <row r="416" ht="15.75" customHeight="1">
      <c r="A416" s="18"/>
      <c r="B416" s="2"/>
      <c r="C416" s="3"/>
      <c r="D416" s="3"/>
      <c r="E416" s="3"/>
      <c r="F416" s="3"/>
    </row>
    <row r="417" ht="15.75" customHeight="1">
      <c r="A417" s="18"/>
      <c r="B417" s="2"/>
      <c r="C417" s="3"/>
      <c r="D417" s="3"/>
      <c r="E417" s="3"/>
      <c r="F417" s="3"/>
    </row>
    <row r="418" ht="15.75" customHeight="1">
      <c r="A418" s="18"/>
      <c r="B418" s="2"/>
      <c r="C418" s="3"/>
      <c r="D418" s="3"/>
      <c r="E418" s="3"/>
      <c r="F418" s="3"/>
    </row>
    <row r="419" ht="15.75" customHeight="1">
      <c r="A419" s="18"/>
      <c r="B419" s="2"/>
      <c r="C419" s="3"/>
      <c r="D419" s="3"/>
      <c r="E419" s="3"/>
      <c r="F419" s="3"/>
    </row>
    <row r="420" ht="15.75" customHeight="1">
      <c r="A420" s="18"/>
      <c r="B420" s="2"/>
      <c r="C420" s="3"/>
      <c r="D420" s="3"/>
      <c r="E420" s="3"/>
      <c r="F420" s="3"/>
    </row>
    <row r="421" ht="15.75" customHeight="1">
      <c r="A421" s="18"/>
      <c r="B421" s="2"/>
      <c r="C421" s="3"/>
      <c r="D421" s="3"/>
      <c r="E421" s="3"/>
      <c r="F421" s="3"/>
    </row>
    <row r="422" ht="15.75" customHeight="1">
      <c r="A422" s="18"/>
      <c r="B422" s="2"/>
      <c r="C422" s="3"/>
      <c r="D422" s="3"/>
      <c r="E422" s="3"/>
      <c r="F422" s="3"/>
    </row>
    <row r="423" ht="15.75" customHeight="1">
      <c r="A423" s="18"/>
      <c r="B423" s="2"/>
      <c r="C423" s="3"/>
      <c r="D423" s="3"/>
      <c r="E423" s="3"/>
      <c r="F423" s="3"/>
    </row>
    <row r="424" ht="15.75" customHeight="1">
      <c r="A424" s="18"/>
      <c r="B424" s="2"/>
      <c r="C424" s="3"/>
      <c r="D424" s="3"/>
      <c r="E424" s="3"/>
      <c r="F424" s="3"/>
    </row>
    <row r="425" ht="15.75" customHeight="1">
      <c r="A425" s="18"/>
      <c r="B425" s="2"/>
      <c r="C425" s="3"/>
      <c r="D425" s="3"/>
      <c r="E425" s="3"/>
      <c r="F425" s="3"/>
    </row>
    <row r="426" ht="15.75" customHeight="1">
      <c r="A426" s="18"/>
      <c r="B426" s="2"/>
      <c r="C426" s="3"/>
      <c r="D426" s="3"/>
      <c r="E426" s="3"/>
      <c r="F426" s="3"/>
    </row>
    <row r="427" ht="15.75" customHeight="1">
      <c r="A427" s="18"/>
      <c r="B427" s="2"/>
      <c r="C427" s="3"/>
      <c r="D427" s="3"/>
      <c r="E427" s="3"/>
      <c r="F427" s="3"/>
    </row>
    <row r="428" ht="15.75" customHeight="1">
      <c r="A428" s="18"/>
      <c r="B428" s="2"/>
      <c r="C428" s="3"/>
      <c r="D428" s="3"/>
      <c r="E428" s="3"/>
      <c r="F428" s="3"/>
    </row>
    <row r="429" ht="15.75" customHeight="1">
      <c r="A429" s="18"/>
      <c r="B429" s="2"/>
      <c r="C429" s="3"/>
      <c r="D429" s="3"/>
      <c r="E429" s="3"/>
      <c r="F429" s="3"/>
    </row>
    <row r="430" ht="15.75" customHeight="1">
      <c r="A430" s="18"/>
      <c r="B430" s="2"/>
      <c r="C430" s="3"/>
      <c r="D430" s="3"/>
      <c r="E430" s="3"/>
      <c r="F430" s="3"/>
    </row>
    <row r="431" ht="15.75" customHeight="1">
      <c r="A431" s="18"/>
      <c r="B431" s="2"/>
      <c r="C431" s="3"/>
      <c r="D431" s="3"/>
      <c r="E431" s="3"/>
      <c r="F431" s="3"/>
    </row>
    <row r="432" ht="15.75" customHeight="1">
      <c r="A432" s="18"/>
      <c r="B432" s="2"/>
      <c r="C432" s="3"/>
      <c r="D432" s="3"/>
      <c r="E432" s="3"/>
      <c r="F432" s="3"/>
    </row>
    <row r="433" ht="15.75" customHeight="1">
      <c r="A433" s="18"/>
      <c r="B433" s="2"/>
      <c r="C433" s="3"/>
      <c r="D433" s="3"/>
      <c r="E433" s="3"/>
      <c r="F433" s="3"/>
    </row>
    <row r="434" ht="15.75" customHeight="1">
      <c r="A434" s="18"/>
      <c r="B434" s="2"/>
      <c r="C434" s="3"/>
      <c r="D434" s="3"/>
      <c r="E434" s="3"/>
      <c r="F434" s="3"/>
    </row>
    <row r="435" ht="15.75" customHeight="1">
      <c r="A435" s="18"/>
      <c r="B435" s="2"/>
      <c r="C435" s="3"/>
      <c r="D435" s="3"/>
      <c r="E435" s="3"/>
      <c r="F435" s="3"/>
    </row>
    <row r="436" ht="15.75" customHeight="1">
      <c r="A436" s="18"/>
      <c r="B436" s="2"/>
      <c r="C436" s="3"/>
      <c r="D436" s="3"/>
      <c r="E436" s="3"/>
      <c r="F436" s="3"/>
    </row>
    <row r="437" ht="15.75" customHeight="1">
      <c r="A437" s="18"/>
      <c r="B437" s="2"/>
      <c r="C437" s="3"/>
      <c r="D437" s="3"/>
      <c r="E437" s="3"/>
      <c r="F437" s="3"/>
    </row>
    <row r="438" ht="15.75" customHeight="1">
      <c r="A438" s="18"/>
      <c r="B438" s="2"/>
      <c r="C438" s="3"/>
      <c r="D438" s="3"/>
      <c r="E438" s="3"/>
      <c r="F438" s="3"/>
    </row>
    <row r="439" ht="15.75" customHeight="1">
      <c r="A439" s="18"/>
      <c r="B439" s="2"/>
      <c r="C439" s="3"/>
      <c r="D439" s="3"/>
      <c r="E439" s="3"/>
      <c r="F439" s="3"/>
    </row>
    <row r="440" ht="15.75" customHeight="1">
      <c r="A440" s="18"/>
      <c r="B440" s="2"/>
      <c r="C440" s="3"/>
      <c r="D440" s="3"/>
      <c r="E440" s="3"/>
      <c r="F440" s="3"/>
    </row>
    <row r="441" ht="15.75" customHeight="1">
      <c r="A441" s="18"/>
      <c r="B441" s="2"/>
      <c r="C441" s="3"/>
      <c r="D441" s="3"/>
      <c r="E441" s="3"/>
      <c r="F441" s="3"/>
    </row>
    <row r="442" ht="15.75" customHeight="1">
      <c r="A442" s="18"/>
      <c r="B442" s="2"/>
      <c r="C442" s="3"/>
      <c r="D442" s="3"/>
      <c r="E442" s="3"/>
      <c r="F442" s="3"/>
    </row>
    <row r="443" ht="15.75" customHeight="1">
      <c r="A443" s="18"/>
      <c r="B443" s="2"/>
      <c r="C443" s="3"/>
      <c r="D443" s="3"/>
      <c r="E443" s="3"/>
      <c r="F443" s="3"/>
    </row>
    <row r="444" ht="15.75" customHeight="1">
      <c r="A444" s="18"/>
      <c r="B444" s="2"/>
      <c r="C444" s="3"/>
      <c r="D444" s="3"/>
      <c r="E444" s="3"/>
      <c r="F444" s="3"/>
    </row>
    <row r="445" ht="15.75" customHeight="1">
      <c r="A445" s="18"/>
      <c r="B445" s="2"/>
      <c r="C445" s="3"/>
      <c r="D445" s="3"/>
      <c r="E445" s="3"/>
      <c r="F445" s="3"/>
    </row>
    <row r="446" ht="15.75" customHeight="1">
      <c r="A446" s="18"/>
      <c r="B446" s="2"/>
      <c r="C446" s="3"/>
      <c r="D446" s="3"/>
      <c r="E446" s="3"/>
      <c r="F446" s="3"/>
    </row>
    <row r="447" ht="15.75" customHeight="1">
      <c r="A447" s="18"/>
      <c r="B447" s="2"/>
      <c r="C447" s="3"/>
      <c r="D447" s="3"/>
      <c r="E447" s="3"/>
      <c r="F447" s="3"/>
    </row>
    <row r="448" ht="15.75" customHeight="1">
      <c r="A448" s="18"/>
      <c r="B448" s="2"/>
      <c r="C448" s="3"/>
      <c r="D448" s="3"/>
      <c r="E448" s="3"/>
      <c r="F448" s="3"/>
    </row>
    <row r="449" ht="15.75" customHeight="1">
      <c r="A449" s="18"/>
      <c r="B449" s="2"/>
      <c r="C449" s="3"/>
      <c r="D449" s="3"/>
      <c r="E449" s="3"/>
      <c r="F449" s="3"/>
    </row>
    <row r="450" ht="15.75" customHeight="1">
      <c r="A450" s="18"/>
      <c r="B450" s="2"/>
      <c r="C450" s="3"/>
      <c r="D450" s="3"/>
      <c r="E450" s="3"/>
      <c r="F450" s="3"/>
    </row>
    <row r="451" ht="15.75" customHeight="1">
      <c r="A451" s="18"/>
      <c r="B451" s="2"/>
      <c r="C451" s="3"/>
      <c r="D451" s="3"/>
      <c r="E451" s="3"/>
      <c r="F451" s="3"/>
    </row>
    <row r="452" ht="15.75" customHeight="1">
      <c r="A452" s="18"/>
      <c r="B452" s="2"/>
      <c r="C452" s="3"/>
      <c r="D452" s="3"/>
      <c r="E452" s="3"/>
      <c r="F452" s="3"/>
    </row>
    <row r="453" ht="15.75" customHeight="1">
      <c r="A453" s="18"/>
      <c r="B453" s="2"/>
      <c r="C453" s="3"/>
      <c r="D453" s="3"/>
      <c r="E453" s="3"/>
      <c r="F453" s="3"/>
    </row>
    <row r="454" ht="15.75" customHeight="1">
      <c r="A454" s="18"/>
      <c r="B454" s="2"/>
      <c r="C454" s="3"/>
      <c r="D454" s="3"/>
      <c r="E454" s="3"/>
      <c r="F454" s="3"/>
    </row>
    <row r="455" ht="15.75" customHeight="1">
      <c r="A455" s="18"/>
      <c r="B455" s="2"/>
      <c r="C455" s="3"/>
      <c r="D455" s="3"/>
      <c r="E455" s="3"/>
      <c r="F455" s="3"/>
    </row>
    <row r="456" ht="15.75" customHeight="1">
      <c r="A456" s="18"/>
      <c r="B456" s="2"/>
      <c r="C456" s="3"/>
      <c r="D456" s="3"/>
      <c r="E456" s="3"/>
      <c r="F456" s="3"/>
    </row>
    <row r="457" ht="15.75" customHeight="1">
      <c r="A457" s="18"/>
      <c r="B457" s="2"/>
      <c r="C457" s="3"/>
      <c r="D457" s="3"/>
      <c r="E457" s="3"/>
      <c r="F457" s="3"/>
    </row>
    <row r="458" ht="15.75" customHeight="1">
      <c r="A458" s="18"/>
      <c r="B458" s="2"/>
      <c r="C458" s="3"/>
      <c r="D458" s="3"/>
      <c r="E458" s="3"/>
      <c r="F458" s="3"/>
    </row>
    <row r="459" ht="15.75" customHeight="1">
      <c r="A459" s="18"/>
      <c r="B459" s="2"/>
      <c r="C459" s="3"/>
      <c r="D459" s="3"/>
      <c r="E459" s="3"/>
      <c r="F459" s="3"/>
    </row>
    <row r="460" ht="15.75" customHeight="1">
      <c r="A460" s="18"/>
      <c r="B460" s="2"/>
      <c r="C460" s="3"/>
      <c r="D460" s="3"/>
      <c r="E460" s="3"/>
      <c r="F460" s="3"/>
    </row>
    <row r="461" ht="15.75" customHeight="1">
      <c r="A461" s="18"/>
      <c r="B461" s="2"/>
      <c r="C461" s="3"/>
      <c r="D461" s="3"/>
      <c r="E461" s="3"/>
      <c r="F461" s="3"/>
    </row>
    <row r="462" ht="15.75" customHeight="1">
      <c r="A462" s="18"/>
      <c r="B462" s="2"/>
      <c r="C462" s="3"/>
      <c r="D462" s="3"/>
      <c r="E462" s="3"/>
      <c r="F462" s="3"/>
    </row>
    <row r="463" ht="15.75" customHeight="1">
      <c r="A463" s="18"/>
      <c r="B463" s="2"/>
      <c r="C463" s="3"/>
      <c r="D463" s="3"/>
      <c r="E463" s="3"/>
      <c r="F463" s="3"/>
    </row>
    <row r="464" ht="15.75" customHeight="1">
      <c r="A464" s="18"/>
      <c r="B464" s="2"/>
      <c r="C464" s="3"/>
      <c r="D464" s="3"/>
      <c r="E464" s="3"/>
      <c r="F464" s="3"/>
    </row>
    <row r="465" ht="15.75" customHeight="1">
      <c r="A465" s="18"/>
      <c r="B465" s="2"/>
      <c r="C465" s="3"/>
      <c r="D465" s="3"/>
      <c r="E465" s="3"/>
      <c r="F465" s="3"/>
    </row>
    <row r="466" ht="15.75" customHeight="1">
      <c r="A466" s="18"/>
      <c r="B466" s="2"/>
      <c r="C466" s="3"/>
      <c r="D466" s="3"/>
      <c r="E466" s="3"/>
      <c r="F466" s="3"/>
    </row>
    <row r="467" ht="15.75" customHeight="1">
      <c r="A467" s="18"/>
      <c r="B467" s="2"/>
      <c r="C467" s="3"/>
      <c r="D467" s="3"/>
      <c r="E467" s="3"/>
      <c r="F467" s="3"/>
    </row>
    <row r="468" ht="15.75" customHeight="1">
      <c r="A468" s="18"/>
      <c r="B468" s="2"/>
      <c r="C468" s="3"/>
      <c r="D468" s="3"/>
      <c r="E468" s="3"/>
      <c r="F468" s="3"/>
    </row>
    <row r="469" ht="15.75" customHeight="1">
      <c r="A469" s="18"/>
      <c r="B469" s="2"/>
      <c r="C469" s="3"/>
      <c r="D469" s="3"/>
      <c r="E469" s="3"/>
      <c r="F469" s="3"/>
    </row>
    <row r="470" ht="15.75" customHeight="1">
      <c r="A470" s="18"/>
      <c r="B470" s="2"/>
      <c r="C470" s="3"/>
      <c r="D470" s="3"/>
      <c r="E470" s="3"/>
      <c r="F470" s="3"/>
    </row>
    <row r="471" ht="15.75" customHeight="1">
      <c r="A471" s="18"/>
      <c r="B471" s="2"/>
      <c r="C471" s="3"/>
      <c r="D471" s="3"/>
      <c r="E471" s="3"/>
      <c r="F471" s="3"/>
    </row>
    <row r="472" ht="15.75" customHeight="1">
      <c r="A472" s="18"/>
      <c r="B472" s="2"/>
      <c r="C472" s="3"/>
      <c r="D472" s="3"/>
      <c r="E472" s="3"/>
      <c r="F472" s="3"/>
    </row>
    <row r="473" ht="15.75" customHeight="1">
      <c r="A473" s="18"/>
      <c r="B473" s="2"/>
      <c r="C473" s="3"/>
      <c r="D473" s="3"/>
      <c r="E473" s="3"/>
      <c r="F473" s="3"/>
    </row>
    <row r="474" ht="15.75" customHeight="1">
      <c r="A474" s="18"/>
      <c r="B474" s="2"/>
      <c r="C474" s="3"/>
      <c r="D474" s="3"/>
      <c r="E474" s="3"/>
      <c r="F474" s="3"/>
    </row>
    <row r="475" ht="15.75" customHeight="1">
      <c r="A475" s="18"/>
      <c r="B475" s="2"/>
      <c r="C475" s="3"/>
      <c r="D475" s="3"/>
      <c r="E475" s="3"/>
      <c r="F475" s="3"/>
    </row>
    <row r="476" ht="15.75" customHeight="1">
      <c r="A476" s="18"/>
      <c r="B476" s="2"/>
      <c r="C476" s="3"/>
      <c r="D476" s="3"/>
      <c r="E476" s="3"/>
      <c r="F476" s="3"/>
    </row>
    <row r="477" ht="15.75" customHeight="1">
      <c r="A477" s="18"/>
      <c r="B477" s="2"/>
      <c r="C477" s="3"/>
      <c r="D477" s="3"/>
      <c r="E477" s="3"/>
      <c r="F477" s="3"/>
    </row>
    <row r="478" ht="15.75" customHeight="1">
      <c r="A478" s="18"/>
      <c r="B478" s="2"/>
      <c r="C478" s="3"/>
      <c r="D478" s="3"/>
      <c r="E478" s="3"/>
      <c r="F478" s="3"/>
    </row>
    <row r="479" ht="15.75" customHeight="1">
      <c r="A479" s="18"/>
      <c r="B479" s="2"/>
      <c r="C479" s="3"/>
      <c r="D479" s="3"/>
      <c r="E479" s="3"/>
      <c r="F479" s="3"/>
    </row>
    <row r="480" ht="15.75" customHeight="1">
      <c r="A480" s="18"/>
      <c r="B480" s="2"/>
      <c r="C480" s="3"/>
      <c r="D480" s="3"/>
      <c r="E480" s="3"/>
      <c r="F480" s="3"/>
    </row>
    <row r="481" ht="15.75" customHeight="1">
      <c r="A481" s="18"/>
      <c r="B481" s="2"/>
      <c r="C481" s="3"/>
      <c r="D481" s="3"/>
      <c r="E481" s="3"/>
      <c r="F481" s="3"/>
    </row>
    <row r="482" ht="15.75" customHeight="1">
      <c r="A482" s="18"/>
      <c r="B482" s="2"/>
      <c r="C482" s="3"/>
      <c r="D482" s="3"/>
      <c r="E482" s="3"/>
      <c r="F482" s="3"/>
    </row>
    <row r="483" ht="15.75" customHeight="1">
      <c r="A483" s="18"/>
      <c r="B483" s="2"/>
      <c r="C483" s="3"/>
      <c r="D483" s="3"/>
      <c r="E483" s="3"/>
      <c r="F483" s="3"/>
    </row>
    <row r="484" ht="15.75" customHeight="1">
      <c r="A484" s="18"/>
      <c r="B484" s="2"/>
      <c r="C484" s="3"/>
      <c r="D484" s="3"/>
      <c r="E484" s="3"/>
      <c r="F484" s="3"/>
    </row>
    <row r="485" ht="15.75" customHeight="1">
      <c r="A485" s="18"/>
      <c r="B485" s="2"/>
      <c r="C485" s="3"/>
      <c r="D485" s="3"/>
      <c r="E485" s="3"/>
      <c r="F485" s="3"/>
    </row>
    <row r="486" ht="15.75" customHeight="1">
      <c r="A486" s="18"/>
      <c r="B486" s="2"/>
      <c r="C486" s="3"/>
      <c r="D486" s="3"/>
      <c r="E486" s="3"/>
      <c r="F486" s="3"/>
    </row>
    <row r="487" ht="15.75" customHeight="1">
      <c r="A487" s="18"/>
      <c r="B487" s="2"/>
      <c r="C487" s="3"/>
      <c r="D487" s="3"/>
      <c r="E487" s="3"/>
      <c r="F487" s="3"/>
    </row>
    <row r="488" ht="15.75" customHeight="1">
      <c r="A488" s="18"/>
      <c r="B488" s="2"/>
      <c r="C488" s="3"/>
      <c r="D488" s="3"/>
      <c r="E488" s="3"/>
      <c r="F488" s="3"/>
    </row>
    <row r="489" ht="15.75" customHeight="1">
      <c r="A489" s="18"/>
      <c r="B489" s="2"/>
      <c r="C489" s="3"/>
      <c r="D489" s="3"/>
      <c r="E489" s="3"/>
      <c r="F489" s="3"/>
    </row>
    <row r="490" ht="15.75" customHeight="1">
      <c r="A490" s="18"/>
      <c r="B490" s="2"/>
      <c r="C490" s="3"/>
      <c r="D490" s="3"/>
      <c r="E490" s="3"/>
      <c r="F490" s="3"/>
    </row>
    <row r="491" ht="15.75" customHeight="1">
      <c r="A491" s="18"/>
      <c r="B491" s="2"/>
      <c r="C491" s="3"/>
      <c r="D491" s="3"/>
      <c r="E491" s="3"/>
      <c r="F491" s="3"/>
    </row>
    <row r="492" ht="15.75" customHeight="1">
      <c r="A492" s="18"/>
      <c r="B492" s="2"/>
      <c r="C492" s="3"/>
      <c r="D492" s="3"/>
      <c r="E492" s="3"/>
      <c r="F492" s="3"/>
    </row>
    <row r="493" ht="15.75" customHeight="1">
      <c r="A493" s="18"/>
      <c r="B493" s="2"/>
      <c r="C493" s="3"/>
      <c r="D493" s="3"/>
      <c r="E493" s="3"/>
      <c r="F493" s="3"/>
    </row>
    <row r="494" ht="15.75" customHeight="1">
      <c r="A494" s="18"/>
      <c r="B494" s="2"/>
      <c r="C494" s="3"/>
      <c r="D494" s="3"/>
      <c r="E494" s="3"/>
      <c r="F494" s="3"/>
    </row>
    <row r="495" ht="15.75" customHeight="1">
      <c r="A495" s="18"/>
      <c r="B495" s="2"/>
      <c r="C495" s="3"/>
      <c r="D495" s="3"/>
      <c r="E495" s="3"/>
      <c r="F495" s="3"/>
    </row>
    <row r="496" ht="15.75" customHeight="1">
      <c r="A496" s="18"/>
      <c r="B496" s="2"/>
      <c r="C496" s="3"/>
      <c r="D496" s="3"/>
      <c r="E496" s="3"/>
      <c r="F496" s="3"/>
    </row>
    <row r="497" ht="15.75" customHeight="1">
      <c r="A497" s="18"/>
      <c r="B497" s="2"/>
      <c r="C497" s="3"/>
      <c r="D497" s="3"/>
      <c r="E497" s="3"/>
      <c r="F497" s="3"/>
    </row>
    <row r="498" ht="15.75" customHeight="1">
      <c r="A498" s="18"/>
      <c r="B498" s="2"/>
      <c r="C498" s="3"/>
      <c r="D498" s="3"/>
      <c r="E498" s="3"/>
      <c r="F498" s="3"/>
    </row>
    <row r="499" ht="15.75" customHeight="1">
      <c r="A499" s="18"/>
      <c r="B499" s="2"/>
      <c r="C499" s="3"/>
      <c r="D499" s="3"/>
      <c r="E499" s="3"/>
      <c r="F499" s="3"/>
    </row>
    <row r="500" ht="15.75" customHeight="1">
      <c r="A500" s="18"/>
      <c r="B500" s="2"/>
      <c r="C500" s="3"/>
      <c r="D500" s="3"/>
      <c r="E500" s="3"/>
      <c r="F500" s="3"/>
    </row>
    <row r="501" ht="15.75" customHeight="1">
      <c r="A501" s="18"/>
      <c r="B501" s="2"/>
      <c r="C501" s="3"/>
      <c r="D501" s="3"/>
      <c r="E501" s="3"/>
      <c r="F501" s="3"/>
    </row>
    <row r="502" ht="15.75" customHeight="1">
      <c r="A502" s="18"/>
      <c r="B502" s="2"/>
      <c r="C502" s="3"/>
      <c r="D502" s="3"/>
      <c r="E502" s="3"/>
      <c r="F502" s="3"/>
    </row>
    <row r="503" ht="15.75" customHeight="1">
      <c r="A503" s="18"/>
      <c r="B503" s="2"/>
      <c r="C503" s="3"/>
      <c r="D503" s="3"/>
      <c r="E503" s="3"/>
      <c r="F503" s="3"/>
    </row>
    <row r="504" ht="15.75" customHeight="1">
      <c r="A504" s="18"/>
      <c r="B504" s="2"/>
      <c r="C504" s="3"/>
      <c r="D504" s="3"/>
      <c r="E504" s="3"/>
      <c r="F504" s="3"/>
    </row>
    <row r="505" ht="15.75" customHeight="1">
      <c r="A505" s="18"/>
      <c r="B505" s="2"/>
      <c r="C505" s="3"/>
      <c r="D505" s="3"/>
      <c r="E505" s="3"/>
      <c r="F505" s="3"/>
    </row>
    <row r="506" ht="15.75" customHeight="1">
      <c r="A506" s="18"/>
      <c r="B506" s="2"/>
      <c r="C506" s="3"/>
      <c r="D506" s="3"/>
      <c r="E506" s="3"/>
      <c r="F506" s="3"/>
    </row>
    <row r="507" ht="15.75" customHeight="1">
      <c r="A507" s="18"/>
      <c r="B507" s="2"/>
      <c r="C507" s="3"/>
      <c r="D507" s="3"/>
      <c r="E507" s="3"/>
      <c r="F507" s="3"/>
    </row>
    <row r="508" ht="15.75" customHeight="1">
      <c r="A508" s="18"/>
      <c r="B508" s="2"/>
      <c r="C508" s="3"/>
      <c r="D508" s="3"/>
      <c r="E508" s="3"/>
      <c r="F508" s="3"/>
    </row>
    <row r="509" ht="15.75" customHeight="1">
      <c r="A509" s="18"/>
      <c r="B509" s="2"/>
      <c r="C509" s="3"/>
      <c r="D509" s="3"/>
      <c r="E509" s="3"/>
      <c r="F509" s="3"/>
    </row>
    <row r="510" ht="15.75" customHeight="1">
      <c r="A510" s="18"/>
      <c r="B510" s="2"/>
      <c r="C510" s="3"/>
      <c r="D510" s="3"/>
      <c r="E510" s="3"/>
      <c r="F510" s="3"/>
    </row>
    <row r="511" ht="15.75" customHeight="1">
      <c r="A511" s="18"/>
      <c r="B511" s="2"/>
      <c r="C511" s="3"/>
      <c r="D511" s="3"/>
      <c r="E511" s="3"/>
      <c r="F511" s="3"/>
    </row>
    <row r="512" ht="15.75" customHeight="1">
      <c r="A512" s="18"/>
      <c r="B512" s="2"/>
      <c r="C512" s="3"/>
      <c r="D512" s="3"/>
      <c r="E512" s="3"/>
      <c r="F512" s="3"/>
    </row>
    <row r="513" ht="15.75" customHeight="1">
      <c r="A513" s="18"/>
      <c r="B513" s="2"/>
      <c r="C513" s="3"/>
      <c r="D513" s="3"/>
      <c r="E513" s="3"/>
      <c r="F513" s="3"/>
    </row>
    <row r="514" ht="15.75" customHeight="1">
      <c r="A514" s="18"/>
      <c r="B514" s="2"/>
      <c r="C514" s="3"/>
      <c r="D514" s="3"/>
      <c r="E514" s="3"/>
      <c r="F514" s="3"/>
    </row>
    <row r="515" ht="15.75" customHeight="1">
      <c r="A515" s="18"/>
      <c r="B515" s="2"/>
      <c r="C515" s="3"/>
      <c r="D515" s="3"/>
      <c r="E515" s="3"/>
      <c r="F515" s="3"/>
    </row>
    <row r="516" ht="15.75" customHeight="1">
      <c r="A516" s="18"/>
      <c r="B516" s="2"/>
      <c r="C516" s="3"/>
      <c r="D516" s="3"/>
      <c r="E516" s="3"/>
      <c r="F516" s="3"/>
    </row>
    <row r="517" ht="15.75" customHeight="1">
      <c r="A517" s="18"/>
      <c r="B517" s="2"/>
      <c r="C517" s="3"/>
      <c r="D517" s="3"/>
      <c r="E517" s="3"/>
      <c r="F517" s="3"/>
    </row>
    <row r="518" ht="15.75" customHeight="1">
      <c r="A518" s="18"/>
      <c r="B518" s="2"/>
      <c r="C518" s="3"/>
      <c r="D518" s="3"/>
      <c r="E518" s="3"/>
      <c r="F518" s="3"/>
    </row>
    <row r="519" ht="15.75" customHeight="1">
      <c r="A519" s="18"/>
      <c r="B519" s="2"/>
      <c r="C519" s="3"/>
      <c r="D519" s="3"/>
      <c r="E519" s="3"/>
      <c r="F519" s="3"/>
    </row>
    <row r="520" ht="15.75" customHeight="1">
      <c r="A520" s="18"/>
      <c r="B520" s="2"/>
      <c r="C520" s="3"/>
      <c r="D520" s="3"/>
      <c r="E520" s="3"/>
      <c r="F520" s="3"/>
    </row>
    <row r="521" ht="15.75" customHeight="1">
      <c r="A521" s="18"/>
      <c r="B521" s="2"/>
      <c r="C521" s="3"/>
      <c r="D521" s="3"/>
      <c r="E521" s="3"/>
      <c r="F521" s="3"/>
    </row>
    <row r="522" ht="15.75" customHeight="1">
      <c r="A522" s="18"/>
      <c r="B522" s="2"/>
      <c r="C522" s="3"/>
      <c r="D522" s="3"/>
      <c r="E522" s="3"/>
      <c r="F522" s="3"/>
    </row>
    <row r="523" ht="15.75" customHeight="1">
      <c r="A523" s="18"/>
      <c r="B523" s="2"/>
      <c r="C523" s="3"/>
      <c r="D523" s="3"/>
      <c r="E523" s="3"/>
      <c r="F523" s="3"/>
    </row>
    <row r="524" ht="15.75" customHeight="1">
      <c r="A524" s="18"/>
      <c r="B524" s="2"/>
      <c r="C524" s="3"/>
      <c r="D524" s="3"/>
      <c r="E524" s="3"/>
      <c r="F524" s="3"/>
    </row>
    <row r="525" ht="15.75" customHeight="1">
      <c r="A525" s="18"/>
      <c r="B525" s="2"/>
      <c r="C525" s="3"/>
      <c r="D525" s="3"/>
      <c r="E525" s="3"/>
      <c r="F525" s="3"/>
    </row>
    <row r="526" ht="15.75" customHeight="1">
      <c r="A526" s="18"/>
      <c r="B526" s="2"/>
      <c r="C526" s="3"/>
      <c r="D526" s="3"/>
      <c r="E526" s="3"/>
      <c r="F526" s="3"/>
    </row>
    <row r="527" ht="15.75" customHeight="1">
      <c r="A527" s="18"/>
      <c r="B527" s="2"/>
      <c r="C527" s="3"/>
      <c r="D527" s="3"/>
      <c r="E527" s="3"/>
      <c r="F527" s="3"/>
    </row>
    <row r="528" ht="15.75" customHeight="1">
      <c r="A528" s="18"/>
      <c r="B528" s="2"/>
      <c r="C528" s="3"/>
      <c r="D528" s="3"/>
      <c r="E528" s="3"/>
      <c r="F528" s="3"/>
    </row>
    <row r="529" ht="15.75" customHeight="1">
      <c r="A529" s="18"/>
      <c r="B529" s="2"/>
      <c r="C529" s="3"/>
      <c r="D529" s="3"/>
      <c r="E529" s="3"/>
      <c r="F529" s="3"/>
    </row>
    <row r="530" ht="15.75" customHeight="1">
      <c r="A530" s="18"/>
      <c r="B530" s="2"/>
      <c r="C530" s="3"/>
      <c r="D530" s="3"/>
      <c r="E530" s="3"/>
      <c r="F530" s="3"/>
    </row>
    <row r="531" ht="15.75" customHeight="1">
      <c r="A531" s="18"/>
      <c r="B531" s="2"/>
      <c r="C531" s="3"/>
      <c r="D531" s="3"/>
      <c r="E531" s="3"/>
      <c r="F531" s="3"/>
    </row>
    <row r="532" ht="15.75" customHeight="1">
      <c r="A532" s="18"/>
      <c r="B532" s="2"/>
      <c r="C532" s="3"/>
      <c r="D532" s="3"/>
      <c r="E532" s="3"/>
      <c r="F532" s="3"/>
    </row>
    <row r="533" ht="15.75" customHeight="1">
      <c r="A533" s="18"/>
      <c r="B533" s="2"/>
      <c r="C533" s="3"/>
      <c r="D533" s="3"/>
      <c r="E533" s="3"/>
      <c r="F533" s="3"/>
    </row>
    <row r="534" ht="15.75" customHeight="1">
      <c r="A534" s="18"/>
      <c r="B534" s="2"/>
      <c r="C534" s="3"/>
      <c r="D534" s="3"/>
      <c r="E534" s="3"/>
      <c r="F534" s="3"/>
    </row>
    <row r="535" ht="15.75" customHeight="1">
      <c r="A535" s="18"/>
      <c r="B535" s="2"/>
      <c r="C535" s="3"/>
      <c r="D535" s="3"/>
      <c r="E535" s="3"/>
      <c r="F535" s="3"/>
    </row>
    <row r="536" ht="15.75" customHeight="1">
      <c r="A536" s="18"/>
      <c r="B536" s="2"/>
      <c r="C536" s="3"/>
      <c r="D536" s="3"/>
      <c r="E536" s="3"/>
      <c r="F536" s="3"/>
    </row>
    <row r="537" ht="15.75" customHeight="1">
      <c r="A537" s="18"/>
      <c r="B537" s="2"/>
      <c r="C537" s="3"/>
      <c r="D537" s="3"/>
      <c r="E537" s="3"/>
      <c r="F537" s="3"/>
    </row>
    <row r="538" ht="15.75" customHeight="1">
      <c r="A538" s="18"/>
      <c r="B538" s="2"/>
      <c r="C538" s="3"/>
      <c r="D538" s="3"/>
      <c r="E538" s="3"/>
      <c r="F538" s="3"/>
    </row>
    <row r="539" ht="15.75" customHeight="1">
      <c r="A539" s="18"/>
      <c r="B539" s="2"/>
      <c r="C539" s="3"/>
      <c r="D539" s="3"/>
      <c r="E539" s="3"/>
      <c r="F539" s="3"/>
    </row>
    <row r="540" ht="15.75" customHeight="1">
      <c r="A540" s="18"/>
      <c r="B540" s="2"/>
      <c r="C540" s="3"/>
      <c r="D540" s="3"/>
      <c r="E540" s="3"/>
      <c r="F540" s="3"/>
    </row>
    <row r="541" ht="15.75" customHeight="1">
      <c r="A541" s="18"/>
      <c r="B541" s="2"/>
      <c r="C541" s="3"/>
      <c r="D541" s="3"/>
      <c r="E541" s="3"/>
      <c r="F541" s="3"/>
    </row>
    <row r="542" ht="15.75" customHeight="1">
      <c r="A542" s="18"/>
      <c r="B542" s="2"/>
      <c r="C542" s="3"/>
      <c r="D542" s="3"/>
      <c r="E542" s="3"/>
      <c r="F542" s="3"/>
    </row>
    <row r="543" ht="15.75" customHeight="1">
      <c r="A543" s="18"/>
      <c r="B543" s="2"/>
      <c r="C543" s="3"/>
      <c r="D543" s="3"/>
      <c r="E543" s="3"/>
      <c r="F543" s="3"/>
    </row>
    <row r="544" ht="15.75" customHeight="1">
      <c r="A544" s="18"/>
      <c r="B544" s="2"/>
      <c r="C544" s="3"/>
      <c r="D544" s="3"/>
      <c r="E544" s="3"/>
      <c r="F544" s="3"/>
    </row>
    <row r="545" ht="15.75" customHeight="1">
      <c r="A545" s="18"/>
      <c r="B545" s="2"/>
      <c r="C545" s="3"/>
      <c r="D545" s="3"/>
      <c r="E545" s="3"/>
      <c r="F545" s="3"/>
    </row>
    <row r="546" ht="15.75" customHeight="1">
      <c r="A546" s="18"/>
      <c r="B546" s="2"/>
      <c r="C546" s="3"/>
      <c r="D546" s="3"/>
      <c r="E546" s="3"/>
      <c r="F546" s="3"/>
    </row>
    <row r="547" ht="15.75" customHeight="1">
      <c r="A547" s="18"/>
      <c r="B547" s="2"/>
      <c r="C547" s="3"/>
      <c r="D547" s="3"/>
      <c r="E547" s="3"/>
      <c r="F547" s="3"/>
    </row>
    <row r="548" ht="15.75" customHeight="1">
      <c r="A548" s="18"/>
      <c r="B548" s="2"/>
      <c r="C548" s="3"/>
      <c r="D548" s="3"/>
      <c r="E548" s="3"/>
      <c r="F548" s="3"/>
    </row>
    <row r="549" ht="15.75" customHeight="1">
      <c r="A549" s="18"/>
      <c r="B549" s="2"/>
      <c r="C549" s="3"/>
      <c r="D549" s="3"/>
      <c r="E549" s="3"/>
      <c r="F549" s="3"/>
    </row>
    <row r="550" ht="15.75" customHeight="1">
      <c r="A550" s="18"/>
      <c r="B550" s="2"/>
      <c r="C550" s="3"/>
      <c r="D550" s="3"/>
      <c r="E550" s="3"/>
      <c r="F550" s="3"/>
    </row>
    <row r="551" ht="15.75" customHeight="1">
      <c r="A551" s="18"/>
      <c r="B551" s="2"/>
      <c r="C551" s="3"/>
      <c r="D551" s="3"/>
      <c r="E551" s="3"/>
      <c r="F551" s="3"/>
    </row>
    <row r="552" ht="15.75" customHeight="1">
      <c r="A552" s="18"/>
      <c r="B552" s="2"/>
      <c r="C552" s="3"/>
      <c r="D552" s="3"/>
      <c r="E552" s="3"/>
      <c r="F552" s="3"/>
    </row>
    <row r="553" ht="15.75" customHeight="1">
      <c r="A553" s="18"/>
      <c r="B553" s="2"/>
      <c r="C553" s="3"/>
      <c r="D553" s="3"/>
      <c r="E553" s="3"/>
      <c r="F553" s="3"/>
    </row>
    <row r="554" ht="15.75" customHeight="1">
      <c r="A554" s="18"/>
      <c r="B554" s="2"/>
      <c r="C554" s="3"/>
      <c r="D554" s="3"/>
      <c r="E554" s="3"/>
      <c r="F554" s="3"/>
    </row>
    <row r="555" ht="15.75" customHeight="1">
      <c r="A555" s="18"/>
      <c r="B555" s="2"/>
      <c r="C555" s="3"/>
      <c r="D555" s="3"/>
      <c r="E555" s="3"/>
      <c r="F555" s="3"/>
    </row>
    <row r="556" ht="15.75" customHeight="1">
      <c r="A556" s="18"/>
      <c r="B556" s="2"/>
      <c r="C556" s="3"/>
      <c r="D556" s="3"/>
      <c r="E556" s="3"/>
      <c r="F556" s="3"/>
    </row>
    <row r="557" ht="15.75" customHeight="1">
      <c r="A557" s="18"/>
      <c r="B557" s="2"/>
      <c r="C557" s="3"/>
      <c r="D557" s="3"/>
      <c r="E557" s="3"/>
      <c r="F557" s="3"/>
    </row>
    <row r="558" ht="15.75" customHeight="1">
      <c r="A558" s="18"/>
      <c r="B558" s="2"/>
      <c r="C558" s="3"/>
      <c r="D558" s="3"/>
      <c r="E558" s="3"/>
      <c r="F558" s="3"/>
    </row>
    <row r="559" ht="15.75" customHeight="1">
      <c r="A559" s="18"/>
      <c r="B559" s="2"/>
      <c r="C559" s="3"/>
      <c r="D559" s="3"/>
      <c r="E559" s="3"/>
      <c r="F559" s="3"/>
    </row>
    <row r="560" ht="15.75" customHeight="1">
      <c r="A560" s="18"/>
      <c r="B560" s="2"/>
      <c r="C560" s="3"/>
      <c r="D560" s="3"/>
      <c r="E560" s="3"/>
      <c r="F560" s="3"/>
    </row>
    <row r="561" ht="15.75" customHeight="1">
      <c r="A561" s="18"/>
      <c r="B561" s="2"/>
      <c r="C561" s="3"/>
      <c r="D561" s="3"/>
      <c r="E561" s="3"/>
      <c r="F561" s="3"/>
    </row>
    <row r="562" ht="15.75" customHeight="1">
      <c r="A562" s="18"/>
      <c r="B562" s="2"/>
      <c r="C562" s="3"/>
      <c r="D562" s="3"/>
      <c r="E562" s="3"/>
      <c r="F562" s="3"/>
    </row>
    <row r="563" ht="15.75" customHeight="1">
      <c r="A563" s="18"/>
      <c r="B563" s="2"/>
      <c r="C563" s="3"/>
      <c r="D563" s="3"/>
      <c r="E563" s="3"/>
      <c r="F563" s="3"/>
    </row>
    <row r="564" ht="15.75" customHeight="1">
      <c r="A564" s="18"/>
      <c r="B564" s="2"/>
      <c r="C564" s="3"/>
      <c r="D564" s="3"/>
      <c r="E564" s="3"/>
      <c r="F564" s="3"/>
    </row>
    <row r="565" ht="15.75" customHeight="1">
      <c r="A565" s="18"/>
      <c r="B565" s="2"/>
      <c r="C565" s="3"/>
      <c r="D565" s="3"/>
      <c r="E565" s="3"/>
      <c r="F565" s="3"/>
    </row>
    <row r="566" ht="15.75" customHeight="1">
      <c r="A566" s="18"/>
      <c r="B566" s="2"/>
      <c r="C566" s="3"/>
      <c r="D566" s="3"/>
      <c r="E566" s="3"/>
      <c r="F566" s="3"/>
    </row>
    <row r="567" ht="15.75" customHeight="1">
      <c r="A567" s="18"/>
      <c r="B567" s="2"/>
      <c r="C567" s="3"/>
      <c r="D567" s="3"/>
      <c r="E567" s="3"/>
      <c r="F567" s="3"/>
    </row>
    <row r="568" ht="15.75" customHeight="1">
      <c r="A568" s="18"/>
      <c r="B568" s="2"/>
      <c r="C568" s="3"/>
      <c r="D568" s="3"/>
      <c r="E568" s="3"/>
      <c r="F568" s="3"/>
    </row>
    <row r="569" ht="15.75" customHeight="1">
      <c r="A569" s="18"/>
      <c r="B569" s="2"/>
      <c r="C569" s="3"/>
      <c r="D569" s="3"/>
      <c r="E569" s="3"/>
      <c r="F569" s="3"/>
    </row>
    <row r="570" ht="15.75" customHeight="1">
      <c r="A570" s="18"/>
      <c r="B570" s="2"/>
      <c r="C570" s="3"/>
      <c r="D570" s="3"/>
      <c r="E570" s="3"/>
      <c r="F570" s="3"/>
    </row>
    <row r="571" ht="15.75" customHeight="1">
      <c r="A571" s="18"/>
      <c r="B571" s="2"/>
      <c r="C571" s="3"/>
      <c r="D571" s="3"/>
      <c r="E571" s="3"/>
      <c r="F571" s="3"/>
    </row>
    <row r="572" ht="15.75" customHeight="1">
      <c r="A572" s="18"/>
      <c r="B572" s="2"/>
      <c r="C572" s="3"/>
      <c r="D572" s="3"/>
      <c r="E572" s="3"/>
      <c r="F572" s="3"/>
    </row>
    <row r="573" ht="15.75" customHeight="1">
      <c r="A573" s="18"/>
      <c r="B573" s="2"/>
      <c r="C573" s="3"/>
      <c r="D573" s="3"/>
      <c r="E573" s="3"/>
      <c r="F573" s="3"/>
    </row>
    <row r="574" ht="15.75" customHeight="1">
      <c r="A574" s="18"/>
      <c r="B574" s="2"/>
      <c r="C574" s="3"/>
      <c r="D574" s="3"/>
      <c r="E574" s="3"/>
      <c r="F574" s="3"/>
    </row>
    <row r="575" ht="15.75" customHeight="1">
      <c r="A575" s="18"/>
      <c r="B575" s="2"/>
      <c r="C575" s="3"/>
      <c r="D575" s="3"/>
      <c r="E575" s="3"/>
      <c r="F575" s="3"/>
    </row>
    <row r="576" ht="15.75" customHeight="1">
      <c r="A576" s="18"/>
      <c r="B576" s="2"/>
      <c r="C576" s="3"/>
      <c r="D576" s="3"/>
      <c r="E576" s="3"/>
      <c r="F576" s="3"/>
    </row>
    <row r="577" ht="15.75" customHeight="1">
      <c r="A577" s="18"/>
      <c r="B577" s="2"/>
      <c r="C577" s="3"/>
      <c r="D577" s="3"/>
      <c r="E577" s="3"/>
      <c r="F577" s="3"/>
    </row>
    <row r="578" ht="15.75" customHeight="1">
      <c r="A578" s="18"/>
      <c r="B578" s="2"/>
      <c r="C578" s="3"/>
      <c r="D578" s="3"/>
      <c r="E578" s="3"/>
      <c r="F578" s="3"/>
    </row>
    <row r="579" ht="15.75" customHeight="1">
      <c r="A579" s="18"/>
      <c r="B579" s="2"/>
      <c r="C579" s="3"/>
      <c r="D579" s="3"/>
      <c r="E579" s="3"/>
      <c r="F579" s="3"/>
    </row>
    <row r="580" ht="15.75" customHeight="1">
      <c r="A580" s="18"/>
      <c r="B580" s="2"/>
      <c r="C580" s="3"/>
      <c r="D580" s="3"/>
      <c r="E580" s="3"/>
      <c r="F580" s="3"/>
    </row>
    <row r="581" ht="15.75" customHeight="1">
      <c r="A581" s="18"/>
      <c r="B581" s="2"/>
      <c r="C581" s="3"/>
      <c r="D581" s="3"/>
      <c r="E581" s="3"/>
      <c r="F581" s="3"/>
    </row>
    <row r="582" ht="15.75" customHeight="1">
      <c r="A582" s="18"/>
      <c r="B582" s="2"/>
      <c r="C582" s="3"/>
      <c r="D582" s="3"/>
      <c r="E582" s="3"/>
      <c r="F582" s="3"/>
    </row>
    <row r="583" ht="15.75" customHeight="1">
      <c r="A583" s="18"/>
      <c r="B583" s="2"/>
      <c r="C583" s="3"/>
      <c r="D583" s="3"/>
      <c r="E583" s="3"/>
      <c r="F583" s="3"/>
    </row>
    <row r="584" ht="15.75" customHeight="1">
      <c r="A584" s="18"/>
      <c r="B584" s="2"/>
      <c r="C584" s="3"/>
      <c r="D584" s="3"/>
      <c r="E584" s="3"/>
      <c r="F584" s="3"/>
    </row>
    <row r="585" ht="15.75" customHeight="1">
      <c r="A585" s="18"/>
      <c r="B585" s="2"/>
      <c r="C585" s="3"/>
      <c r="D585" s="3"/>
      <c r="E585" s="3"/>
      <c r="F585" s="3"/>
    </row>
    <row r="586" ht="15.75" customHeight="1">
      <c r="A586" s="18"/>
      <c r="B586" s="2"/>
      <c r="C586" s="3"/>
      <c r="D586" s="3"/>
      <c r="E586" s="3"/>
      <c r="F586" s="3"/>
    </row>
    <row r="587" ht="15.75" customHeight="1">
      <c r="A587" s="18"/>
      <c r="B587" s="2"/>
      <c r="C587" s="3"/>
      <c r="D587" s="3"/>
      <c r="E587" s="3"/>
      <c r="F587" s="3"/>
    </row>
    <row r="588" ht="15.75" customHeight="1">
      <c r="A588" s="18"/>
      <c r="B588" s="2"/>
      <c r="C588" s="3"/>
      <c r="D588" s="3"/>
      <c r="E588" s="3"/>
      <c r="F588" s="3"/>
    </row>
    <row r="589" ht="15.75" customHeight="1">
      <c r="A589" s="18"/>
      <c r="B589" s="2"/>
      <c r="C589" s="3"/>
      <c r="D589" s="3"/>
      <c r="E589" s="3"/>
      <c r="F589" s="3"/>
    </row>
    <row r="590" ht="15.75" customHeight="1">
      <c r="A590" s="18"/>
      <c r="B590" s="2"/>
      <c r="C590" s="3"/>
      <c r="D590" s="3"/>
      <c r="E590" s="3"/>
      <c r="F590" s="3"/>
    </row>
    <row r="591" ht="15.75" customHeight="1">
      <c r="A591" s="18"/>
      <c r="B591" s="2"/>
      <c r="C591" s="3"/>
      <c r="D591" s="3"/>
      <c r="E591" s="3"/>
      <c r="F591" s="3"/>
    </row>
    <row r="592" ht="15.75" customHeight="1">
      <c r="A592" s="18"/>
      <c r="B592" s="2"/>
      <c r="C592" s="3"/>
      <c r="D592" s="3"/>
      <c r="E592" s="3"/>
      <c r="F592" s="3"/>
    </row>
    <row r="593" ht="15.75" customHeight="1">
      <c r="A593" s="18"/>
      <c r="B593" s="2"/>
      <c r="C593" s="3"/>
      <c r="D593" s="3"/>
      <c r="E593" s="3"/>
      <c r="F593" s="3"/>
    </row>
    <row r="594" ht="15.75" customHeight="1">
      <c r="A594" s="18"/>
      <c r="B594" s="2"/>
      <c r="C594" s="3"/>
      <c r="D594" s="3"/>
      <c r="E594" s="3"/>
      <c r="F594" s="3"/>
    </row>
    <row r="595" ht="15.75" customHeight="1">
      <c r="A595" s="18"/>
      <c r="B595" s="2"/>
      <c r="C595" s="3"/>
      <c r="D595" s="3"/>
      <c r="E595" s="3"/>
      <c r="F595" s="3"/>
    </row>
    <row r="596" ht="15.75" customHeight="1">
      <c r="A596" s="18"/>
      <c r="B596" s="2"/>
      <c r="C596" s="3"/>
      <c r="D596" s="3"/>
      <c r="E596" s="3"/>
      <c r="F596" s="3"/>
    </row>
    <row r="597" ht="15.75" customHeight="1">
      <c r="A597" s="18"/>
      <c r="B597" s="2"/>
      <c r="C597" s="3"/>
      <c r="D597" s="3"/>
      <c r="E597" s="3"/>
      <c r="F597" s="3"/>
    </row>
    <row r="598" ht="15.75" customHeight="1">
      <c r="A598" s="18"/>
      <c r="B598" s="2"/>
      <c r="C598" s="3"/>
      <c r="D598" s="3"/>
      <c r="E598" s="3"/>
      <c r="F598" s="3"/>
    </row>
    <row r="599" ht="15.75" customHeight="1">
      <c r="A599" s="18"/>
      <c r="B599" s="2"/>
      <c r="C599" s="3"/>
      <c r="D599" s="3"/>
      <c r="E599" s="3"/>
      <c r="F599" s="3"/>
    </row>
    <row r="600" ht="15.75" customHeight="1">
      <c r="A600" s="18"/>
      <c r="B600" s="2"/>
      <c r="C600" s="3"/>
      <c r="D600" s="3"/>
      <c r="E600" s="3"/>
      <c r="F600" s="3"/>
    </row>
    <row r="601" ht="15.75" customHeight="1">
      <c r="A601" s="18"/>
      <c r="B601" s="2"/>
      <c r="C601" s="3"/>
      <c r="D601" s="3"/>
      <c r="E601" s="3"/>
      <c r="F601" s="3"/>
    </row>
    <row r="602" ht="15.75" customHeight="1">
      <c r="A602" s="18"/>
      <c r="B602" s="2"/>
      <c r="C602" s="3"/>
      <c r="D602" s="3"/>
      <c r="E602" s="3"/>
      <c r="F602" s="3"/>
    </row>
    <row r="603" ht="15.75" customHeight="1">
      <c r="A603" s="18"/>
      <c r="B603" s="2"/>
      <c r="C603" s="3"/>
      <c r="D603" s="3"/>
      <c r="E603" s="3"/>
      <c r="F603" s="3"/>
    </row>
    <row r="604" ht="15.75" customHeight="1">
      <c r="A604" s="18"/>
      <c r="B604" s="2"/>
      <c r="C604" s="3"/>
      <c r="D604" s="3"/>
      <c r="E604" s="3"/>
      <c r="F604" s="3"/>
    </row>
    <row r="605" ht="15.75" customHeight="1">
      <c r="A605" s="18"/>
      <c r="B605" s="2"/>
      <c r="C605" s="3"/>
      <c r="D605" s="3"/>
      <c r="E605" s="3"/>
      <c r="F605" s="3"/>
    </row>
    <row r="606" ht="15.75" customHeight="1">
      <c r="A606" s="18"/>
      <c r="B606" s="2"/>
      <c r="C606" s="3"/>
      <c r="D606" s="3"/>
      <c r="E606" s="3"/>
      <c r="F606" s="3"/>
    </row>
    <row r="607" ht="15.75" customHeight="1">
      <c r="A607" s="18"/>
      <c r="B607" s="2"/>
      <c r="C607" s="3"/>
      <c r="D607" s="3"/>
      <c r="E607" s="3"/>
      <c r="F607" s="3"/>
    </row>
    <row r="608" ht="15.75" customHeight="1">
      <c r="A608" s="18"/>
      <c r="B608" s="2"/>
      <c r="C608" s="3"/>
      <c r="D608" s="3"/>
      <c r="E608" s="3"/>
      <c r="F608" s="3"/>
    </row>
    <row r="609" ht="15.75" customHeight="1">
      <c r="A609" s="18"/>
      <c r="B609" s="2"/>
      <c r="C609" s="3"/>
      <c r="D609" s="3"/>
      <c r="E609" s="3"/>
      <c r="F609" s="3"/>
    </row>
    <row r="610" ht="15.75" customHeight="1">
      <c r="A610" s="18"/>
      <c r="B610" s="2"/>
      <c r="C610" s="3"/>
      <c r="D610" s="3"/>
      <c r="E610" s="3"/>
      <c r="F610" s="3"/>
    </row>
    <row r="611" ht="15.75" customHeight="1">
      <c r="A611" s="18"/>
      <c r="B611" s="2"/>
      <c r="C611" s="3"/>
      <c r="D611" s="3"/>
      <c r="E611" s="3"/>
      <c r="F611" s="3"/>
    </row>
    <row r="612" ht="15.75" customHeight="1">
      <c r="A612" s="18"/>
      <c r="B612" s="2"/>
      <c r="C612" s="3"/>
      <c r="D612" s="3"/>
      <c r="E612" s="3"/>
      <c r="F612" s="3"/>
    </row>
    <row r="613" ht="15.75" customHeight="1">
      <c r="A613" s="18"/>
      <c r="B613" s="2"/>
      <c r="C613" s="3"/>
      <c r="D613" s="3"/>
      <c r="E613" s="3"/>
      <c r="F613" s="3"/>
    </row>
    <row r="614" ht="15.75" customHeight="1">
      <c r="A614" s="18"/>
      <c r="B614" s="2"/>
      <c r="C614" s="3"/>
      <c r="D614" s="3"/>
      <c r="E614" s="3"/>
      <c r="F614" s="3"/>
    </row>
    <row r="615" ht="15.75" customHeight="1">
      <c r="A615" s="18"/>
      <c r="B615" s="2"/>
      <c r="C615" s="3"/>
      <c r="D615" s="3"/>
      <c r="E615" s="3"/>
      <c r="F615" s="3"/>
    </row>
    <row r="616" ht="15.75" customHeight="1">
      <c r="A616" s="18"/>
      <c r="B616" s="2"/>
      <c r="C616" s="3"/>
      <c r="D616" s="3"/>
      <c r="E616" s="3"/>
      <c r="F616" s="3"/>
    </row>
    <row r="617" ht="15.75" customHeight="1">
      <c r="A617" s="18"/>
      <c r="B617" s="2"/>
      <c r="C617" s="3"/>
      <c r="D617" s="3"/>
      <c r="E617" s="3"/>
      <c r="F617" s="3"/>
    </row>
    <row r="618" ht="15.75" customHeight="1">
      <c r="A618" s="18"/>
      <c r="B618" s="2"/>
      <c r="C618" s="3"/>
      <c r="D618" s="3"/>
      <c r="E618" s="3"/>
      <c r="F618" s="3"/>
    </row>
    <row r="619" ht="15.75" customHeight="1">
      <c r="A619" s="18"/>
      <c r="B619" s="2"/>
      <c r="C619" s="3"/>
      <c r="D619" s="3"/>
      <c r="E619" s="3"/>
      <c r="F619" s="3"/>
    </row>
    <row r="620" ht="15.75" customHeight="1">
      <c r="A620" s="18"/>
      <c r="B620" s="2"/>
      <c r="C620" s="3"/>
      <c r="D620" s="3"/>
      <c r="E620" s="3"/>
      <c r="F620" s="3"/>
    </row>
    <row r="621" ht="15.75" customHeight="1">
      <c r="A621" s="18"/>
      <c r="B621" s="2"/>
      <c r="C621" s="3"/>
      <c r="D621" s="3"/>
      <c r="E621" s="3"/>
      <c r="F621" s="3"/>
    </row>
    <row r="622" ht="15.75" customHeight="1">
      <c r="A622" s="18"/>
      <c r="B622" s="2"/>
      <c r="C622" s="3"/>
      <c r="D622" s="3"/>
      <c r="E622" s="3"/>
      <c r="F622" s="3"/>
    </row>
    <row r="623" ht="15.75" customHeight="1">
      <c r="A623" s="18"/>
      <c r="B623" s="2"/>
      <c r="C623" s="3"/>
      <c r="D623" s="3"/>
      <c r="E623" s="3"/>
      <c r="F623" s="3"/>
    </row>
    <row r="624" ht="15.75" customHeight="1">
      <c r="A624" s="18"/>
      <c r="B624" s="2"/>
      <c r="C624" s="3"/>
      <c r="D624" s="3"/>
      <c r="E624" s="3"/>
      <c r="F624" s="3"/>
    </row>
    <row r="625" ht="15.75" customHeight="1">
      <c r="A625" s="18"/>
      <c r="B625" s="2"/>
      <c r="C625" s="3"/>
      <c r="D625" s="3"/>
      <c r="E625" s="3"/>
      <c r="F625" s="3"/>
    </row>
    <row r="626" ht="15.75" customHeight="1">
      <c r="A626" s="18"/>
      <c r="B626" s="2"/>
      <c r="C626" s="3"/>
      <c r="D626" s="3"/>
      <c r="E626" s="3"/>
      <c r="F626" s="3"/>
    </row>
    <row r="627" ht="15.75" customHeight="1">
      <c r="A627" s="18"/>
      <c r="B627" s="2"/>
      <c r="C627" s="3"/>
      <c r="D627" s="3"/>
      <c r="E627" s="3"/>
      <c r="F627" s="3"/>
    </row>
    <row r="628" ht="15.75" customHeight="1">
      <c r="A628" s="18"/>
      <c r="B628" s="2"/>
      <c r="C628" s="3"/>
      <c r="D628" s="3"/>
      <c r="E628" s="3"/>
      <c r="F628" s="3"/>
    </row>
    <row r="629" ht="15.75" customHeight="1">
      <c r="A629" s="18"/>
      <c r="B629" s="2"/>
      <c r="C629" s="3"/>
      <c r="D629" s="3"/>
      <c r="E629" s="3"/>
      <c r="F629" s="3"/>
    </row>
    <row r="630" ht="15.75" customHeight="1">
      <c r="A630" s="18"/>
      <c r="B630" s="2"/>
      <c r="C630" s="3"/>
      <c r="D630" s="3"/>
      <c r="E630" s="3"/>
      <c r="F630" s="3"/>
    </row>
    <row r="631" ht="15.75" customHeight="1">
      <c r="A631" s="18"/>
      <c r="B631" s="2"/>
      <c r="C631" s="3"/>
      <c r="D631" s="3"/>
      <c r="E631" s="3"/>
      <c r="F631" s="3"/>
    </row>
    <row r="632" ht="15.75" customHeight="1">
      <c r="A632" s="18"/>
      <c r="B632" s="2"/>
      <c r="C632" s="3"/>
      <c r="D632" s="3"/>
      <c r="E632" s="3"/>
      <c r="F632" s="3"/>
    </row>
    <row r="633" ht="15.75" customHeight="1">
      <c r="A633" s="18"/>
      <c r="B633" s="2"/>
      <c r="C633" s="3"/>
      <c r="D633" s="3"/>
      <c r="E633" s="3"/>
      <c r="F633" s="3"/>
    </row>
    <row r="634" ht="15.75" customHeight="1">
      <c r="A634" s="18"/>
      <c r="B634" s="2"/>
      <c r="C634" s="3"/>
      <c r="D634" s="3"/>
      <c r="E634" s="3"/>
      <c r="F634" s="3"/>
    </row>
    <row r="635" ht="15.75" customHeight="1">
      <c r="A635" s="18"/>
      <c r="B635" s="2"/>
      <c r="C635" s="3"/>
      <c r="D635" s="3"/>
      <c r="E635" s="3"/>
      <c r="F635" s="3"/>
    </row>
    <row r="636" ht="15.75" customHeight="1">
      <c r="A636" s="18"/>
      <c r="B636" s="2"/>
      <c r="C636" s="3"/>
      <c r="D636" s="3"/>
      <c r="E636" s="3"/>
      <c r="F636" s="3"/>
    </row>
    <row r="637" ht="15.75" customHeight="1">
      <c r="A637" s="18"/>
      <c r="B637" s="2"/>
      <c r="C637" s="3"/>
      <c r="D637" s="3"/>
      <c r="E637" s="3"/>
      <c r="F637" s="3"/>
    </row>
    <row r="638" ht="15.75" customHeight="1">
      <c r="A638" s="18"/>
      <c r="B638" s="2"/>
      <c r="C638" s="3"/>
      <c r="D638" s="3"/>
      <c r="E638" s="3"/>
      <c r="F638" s="3"/>
    </row>
    <row r="639" ht="15.75" customHeight="1">
      <c r="A639" s="18"/>
      <c r="B639" s="2"/>
      <c r="C639" s="3"/>
      <c r="D639" s="3"/>
      <c r="E639" s="3"/>
      <c r="F639" s="3"/>
    </row>
    <row r="640" ht="15.75" customHeight="1">
      <c r="A640" s="18"/>
      <c r="B640" s="2"/>
      <c r="C640" s="3"/>
      <c r="D640" s="3"/>
      <c r="E640" s="3"/>
      <c r="F640" s="3"/>
    </row>
    <row r="641" ht="15.75" customHeight="1">
      <c r="A641" s="18"/>
      <c r="B641" s="2"/>
      <c r="C641" s="3"/>
      <c r="D641" s="3"/>
      <c r="E641" s="3"/>
      <c r="F641" s="3"/>
    </row>
    <row r="642" ht="15.75" customHeight="1">
      <c r="A642" s="18"/>
      <c r="B642" s="2"/>
      <c r="C642" s="3"/>
      <c r="D642" s="3"/>
      <c r="E642" s="3"/>
      <c r="F642" s="3"/>
    </row>
    <row r="643" ht="15.75" customHeight="1">
      <c r="A643" s="18"/>
      <c r="B643" s="2"/>
      <c r="C643" s="3"/>
      <c r="D643" s="3"/>
      <c r="E643" s="3"/>
      <c r="F643" s="3"/>
    </row>
    <row r="644" ht="15.75" customHeight="1">
      <c r="A644" s="18"/>
      <c r="B644" s="2"/>
      <c r="C644" s="3"/>
      <c r="D644" s="3"/>
      <c r="E644" s="3"/>
      <c r="F644" s="3"/>
    </row>
    <row r="645" ht="15.75" customHeight="1">
      <c r="A645" s="18"/>
      <c r="B645" s="2"/>
      <c r="C645" s="3"/>
      <c r="D645" s="3"/>
      <c r="E645" s="3"/>
      <c r="F645" s="3"/>
    </row>
    <row r="646" ht="15.75" customHeight="1">
      <c r="A646" s="18"/>
      <c r="B646" s="2"/>
      <c r="C646" s="3"/>
      <c r="D646" s="3"/>
      <c r="E646" s="3"/>
      <c r="F646" s="3"/>
    </row>
    <row r="647" ht="15.75" customHeight="1">
      <c r="A647" s="18"/>
      <c r="B647" s="2"/>
      <c r="C647" s="3"/>
      <c r="D647" s="3"/>
      <c r="E647" s="3"/>
      <c r="F647" s="3"/>
    </row>
    <row r="648" ht="15.75" customHeight="1">
      <c r="A648" s="18"/>
      <c r="B648" s="2"/>
      <c r="C648" s="3"/>
      <c r="D648" s="3"/>
      <c r="E648" s="3"/>
      <c r="F648" s="3"/>
    </row>
    <row r="649" ht="15.75" customHeight="1">
      <c r="A649" s="18"/>
      <c r="B649" s="2"/>
      <c r="C649" s="3"/>
      <c r="D649" s="3"/>
      <c r="E649" s="3"/>
      <c r="F649" s="3"/>
    </row>
    <row r="650" ht="15.75" customHeight="1">
      <c r="A650" s="18"/>
      <c r="B650" s="2"/>
      <c r="C650" s="3"/>
      <c r="D650" s="3"/>
      <c r="E650" s="3"/>
      <c r="F650" s="3"/>
    </row>
    <row r="651" ht="15.75" customHeight="1">
      <c r="A651" s="18"/>
      <c r="B651" s="2"/>
      <c r="C651" s="3"/>
      <c r="D651" s="3"/>
      <c r="E651" s="3"/>
      <c r="F651" s="3"/>
    </row>
    <row r="652" ht="15.75" customHeight="1">
      <c r="A652" s="18"/>
      <c r="B652" s="2"/>
      <c r="C652" s="3"/>
      <c r="D652" s="3"/>
      <c r="E652" s="3"/>
      <c r="F652" s="3"/>
    </row>
    <row r="653" ht="15.75" customHeight="1">
      <c r="A653" s="18"/>
      <c r="B653" s="2"/>
      <c r="C653" s="3"/>
      <c r="D653" s="3"/>
      <c r="E653" s="3"/>
      <c r="F653" s="3"/>
    </row>
    <row r="654" ht="15.75" customHeight="1">
      <c r="A654" s="18"/>
      <c r="B654" s="2"/>
      <c r="C654" s="3"/>
      <c r="D654" s="3"/>
      <c r="E654" s="3"/>
      <c r="F654" s="3"/>
    </row>
    <row r="655" ht="15.75" customHeight="1">
      <c r="A655" s="18"/>
      <c r="B655" s="2"/>
      <c r="C655" s="3"/>
      <c r="D655" s="3"/>
      <c r="E655" s="3"/>
      <c r="F655" s="3"/>
    </row>
    <row r="656" ht="15.75" customHeight="1">
      <c r="A656" s="18"/>
      <c r="B656" s="2"/>
      <c r="C656" s="3"/>
      <c r="D656" s="3"/>
      <c r="E656" s="3"/>
      <c r="F656" s="3"/>
    </row>
    <row r="657" ht="15.75" customHeight="1">
      <c r="A657" s="18"/>
      <c r="B657" s="2"/>
      <c r="C657" s="3"/>
      <c r="D657" s="3"/>
      <c r="E657" s="3"/>
      <c r="F657" s="3"/>
    </row>
    <row r="658" ht="15.75" customHeight="1">
      <c r="A658" s="18"/>
      <c r="B658" s="2"/>
      <c r="C658" s="3"/>
      <c r="D658" s="3"/>
      <c r="E658" s="3"/>
      <c r="F658" s="3"/>
    </row>
    <row r="659" ht="15.75" customHeight="1">
      <c r="A659" s="18"/>
      <c r="B659" s="2"/>
      <c r="C659" s="3"/>
      <c r="D659" s="3"/>
      <c r="E659" s="3"/>
      <c r="F659" s="3"/>
    </row>
    <row r="660" ht="15.75" customHeight="1">
      <c r="A660" s="18"/>
      <c r="B660" s="2"/>
      <c r="C660" s="3"/>
      <c r="D660" s="3"/>
      <c r="E660" s="3"/>
      <c r="F660" s="3"/>
    </row>
    <row r="661" ht="15.75" customHeight="1">
      <c r="A661" s="18"/>
      <c r="B661" s="2"/>
      <c r="C661" s="3"/>
      <c r="D661" s="3"/>
      <c r="E661" s="3"/>
      <c r="F661" s="3"/>
    </row>
    <row r="662" ht="15.75" customHeight="1">
      <c r="A662" s="18"/>
      <c r="B662" s="2"/>
      <c r="C662" s="3"/>
      <c r="D662" s="3"/>
      <c r="E662" s="3"/>
      <c r="F662" s="3"/>
    </row>
    <row r="663" ht="15.75" customHeight="1">
      <c r="A663" s="18"/>
      <c r="B663" s="2"/>
      <c r="C663" s="3"/>
      <c r="D663" s="3"/>
      <c r="E663" s="3"/>
      <c r="F663" s="3"/>
    </row>
    <row r="664" ht="15.75" customHeight="1">
      <c r="A664" s="18"/>
      <c r="B664" s="2"/>
      <c r="C664" s="3"/>
      <c r="D664" s="3"/>
      <c r="E664" s="3"/>
      <c r="F664" s="3"/>
    </row>
    <row r="665" ht="15.75" customHeight="1">
      <c r="A665" s="18"/>
      <c r="B665" s="2"/>
      <c r="C665" s="3"/>
      <c r="D665" s="3"/>
      <c r="E665" s="3"/>
      <c r="F665" s="3"/>
    </row>
    <row r="666" ht="15.75" customHeight="1">
      <c r="A666" s="18"/>
      <c r="B666" s="2"/>
      <c r="C666" s="3"/>
      <c r="D666" s="3"/>
      <c r="E666" s="3"/>
      <c r="F666" s="3"/>
    </row>
    <row r="667" ht="15.75" customHeight="1">
      <c r="A667" s="18"/>
      <c r="B667" s="2"/>
      <c r="C667" s="3"/>
      <c r="D667" s="3"/>
      <c r="E667" s="3"/>
      <c r="F667" s="3"/>
    </row>
    <row r="668" ht="15.75" customHeight="1">
      <c r="A668" s="18"/>
      <c r="B668" s="2"/>
      <c r="C668" s="3"/>
      <c r="D668" s="3"/>
      <c r="E668" s="3"/>
      <c r="F668" s="3"/>
    </row>
    <row r="669" ht="15.75" customHeight="1">
      <c r="A669" s="18"/>
      <c r="B669" s="2"/>
      <c r="C669" s="3"/>
      <c r="D669" s="3"/>
      <c r="E669" s="3"/>
      <c r="F669" s="3"/>
    </row>
    <row r="670" ht="15.75" customHeight="1">
      <c r="A670" s="18"/>
      <c r="B670" s="2"/>
      <c r="C670" s="3"/>
      <c r="D670" s="3"/>
      <c r="E670" s="3"/>
      <c r="F670" s="3"/>
    </row>
    <row r="671" ht="15.75" customHeight="1">
      <c r="A671" s="18"/>
      <c r="B671" s="2"/>
      <c r="C671" s="3"/>
      <c r="D671" s="3"/>
      <c r="E671" s="3"/>
      <c r="F671" s="3"/>
    </row>
    <row r="672" ht="15.75" customHeight="1">
      <c r="A672" s="18"/>
      <c r="B672" s="2"/>
      <c r="C672" s="3"/>
      <c r="D672" s="3"/>
      <c r="E672" s="3"/>
      <c r="F672" s="3"/>
    </row>
    <row r="673" ht="15.75" customHeight="1">
      <c r="A673" s="18"/>
      <c r="B673" s="2"/>
      <c r="C673" s="3"/>
      <c r="D673" s="3"/>
      <c r="E673" s="3"/>
      <c r="F673" s="3"/>
    </row>
    <row r="674" ht="15.75" customHeight="1">
      <c r="A674" s="18"/>
      <c r="B674" s="2"/>
      <c r="C674" s="3"/>
      <c r="D674" s="3"/>
      <c r="E674" s="3"/>
      <c r="F674" s="3"/>
    </row>
    <row r="675" ht="15.75" customHeight="1">
      <c r="A675" s="18"/>
      <c r="B675" s="2"/>
      <c r="C675" s="3"/>
      <c r="D675" s="3"/>
      <c r="E675" s="3"/>
      <c r="F675" s="3"/>
    </row>
    <row r="676" ht="15.75" customHeight="1">
      <c r="A676" s="18"/>
      <c r="B676" s="2"/>
      <c r="C676" s="3"/>
      <c r="D676" s="3"/>
      <c r="E676" s="3"/>
      <c r="F676" s="3"/>
    </row>
    <row r="677" ht="15.75" customHeight="1">
      <c r="A677" s="18"/>
      <c r="B677" s="2"/>
      <c r="C677" s="3"/>
      <c r="D677" s="3"/>
      <c r="E677" s="3"/>
      <c r="F677" s="3"/>
    </row>
    <row r="678" ht="15.75" customHeight="1">
      <c r="A678" s="18"/>
      <c r="B678" s="2"/>
      <c r="C678" s="3"/>
      <c r="D678" s="3"/>
      <c r="E678" s="3"/>
      <c r="F678" s="3"/>
    </row>
    <row r="679" ht="15.75" customHeight="1">
      <c r="A679" s="18"/>
      <c r="B679" s="2"/>
      <c r="C679" s="3"/>
      <c r="D679" s="3"/>
      <c r="E679" s="3"/>
      <c r="F679" s="3"/>
    </row>
    <row r="680" ht="15.75" customHeight="1">
      <c r="A680" s="18"/>
      <c r="B680" s="2"/>
      <c r="C680" s="3"/>
      <c r="D680" s="3"/>
      <c r="E680" s="3"/>
      <c r="F680" s="3"/>
    </row>
    <row r="681" ht="15.75" customHeight="1">
      <c r="A681" s="18"/>
      <c r="B681" s="2"/>
      <c r="C681" s="3"/>
      <c r="D681" s="3"/>
      <c r="E681" s="3"/>
      <c r="F681" s="3"/>
    </row>
    <row r="682" ht="15.75" customHeight="1">
      <c r="A682" s="18"/>
      <c r="B682" s="2"/>
      <c r="C682" s="3"/>
      <c r="D682" s="3"/>
      <c r="E682" s="3"/>
      <c r="F682" s="3"/>
    </row>
    <row r="683" ht="15.75" customHeight="1">
      <c r="A683" s="18"/>
      <c r="B683" s="2"/>
      <c r="C683" s="3"/>
      <c r="D683" s="3"/>
      <c r="E683" s="3"/>
      <c r="F683" s="3"/>
    </row>
    <row r="684" ht="15.75" customHeight="1">
      <c r="A684" s="18"/>
      <c r="B684" s="2"/>
      <c r="C684" s="3"/>
      <c r="D684" s="3"/>
      <c r="E684" s="3"/>
      <c r="F684" s="3"/>
    </row>
    <row r="685" ht="15.75" customHeight="1">
      <c r="A685" s="18"/>
      <c r="B685" s="2"/>
      <c r="C685" s="3"/>
      <c r="D685" s="3"/>
      <c r="E685" s="3"/>
      <c r="F685" s="3"/>
    </row>
    <row r="686" ht="15.75" customHeight="1">
      <c r="A686" s="18"/>
      <c r="B686" s="2"/>
      <c r="C686" s="3"/>
      <c r="D686" s="3"/>
      <c r="E686" s="3"/>
      <c r="F686" s="3"/>
    </row>
    <row r="687" ht="15.75" customHeight="1">
      <c r="A687" s="18"/>
      <c r="B687" s="2"/>
      <c r="C687" s="3"/>
      <c r="D687" s="3"/>
      <c r="E687" s="3"/>
      <c r="F687" s="3"/>
    </row>
    <row r="688" ht="15.75" customHeight="1">
      <c r="A688" s="18"/>
      <c r="B688" s="2"/>
      <c r="C688" s="3"/>
      <c r="D688" s="3"/>
      <c r="E688" s="3"/>
      <c r="F688" s="3"/>
    </row>
    <row r="689" ht="15.75" customHeight="1">
      <c r="A689" s="18"/>
      <c r="B689" s="2"/>
      <c r="C689" s="3"/>
      <c r="D689" s="3"/>
      <c r="E689" s="3"/>
      <c r="F689" s="3"/>
    </row>
    <row r="690" ht="15.75" customHeight="1">
      <c r="A690" s="18"/>
      <c r="B690" s="2"/>
      <c r="C690" s="3"/>
      <c r="D690" s="3"/>
      <c r="E690" s="3"/>
      <c r="F690" s="3"/>
    </row>
    <row r="691" ht="15.75" customHeight="1">
      <c r="A691" s="18"/>
      <c r="B691" s="2"/>
      <c r="C691" s="3"/>
      <c r="D691" s="3"/>
      <c r="E691" s="3"/>
      <c r="F691" s="3"/>
    </row>
    <row r="692" ht="15.75" customHeight="1">
      <c r="A692" s="18"/>
      <c r="B692" s="2"/>
      <c r="C692" s="3"/>
      <c r="D692" s="3"/>
      <c r="E692" s="3"/>
      <c r="F692" s="3"/>
    </row>
    <row r="693" ht="15.75" customHeight="1">
      <c r="A693" s="18"/>
      <c r="B693" s="2"/>
      <c r="C693" s="3"/>
      <c r="D693" s="3"/>
      <c r="E693" s="3"/>
      <c r="F693" s="3"/>
    </row>
    <row r="694" ht="15.75" customHeight="1">
      <c r="A694" s="18"/>
      <c r="B694" s="2"/>
      <c r="C694" s="3"/>
      <c r="D694" s="3"/>
      <c r="E694" s="3"/>
      <c r="F694" s="3"/>
    </row>
    <row r="695" ht="15.75" customHeight="1">
      <c r="A695" s="18"/>
      <c r="B695" s="2"/>
      <c r="C695" s="3"/>
      <c r="D695" s="3"/>
      <c r="E695" s="3"/>
      <c r="F695" s="3"/>
    </row>
    <row r="696" ht="15.75" customHeight="1">
      <c r="A696" s="18"/>
      <c r="B696" s="2"/>
      <c r="C696" s="3"/>
      <c r="D696" s="3"/>
      <c r="E696" s="3"/>
      <c r="F696" s="3"/>
    </row>
    <row r="697" ht="15.75" customHeight="1">
      <c r="A697" s="18"/>
      <c r="B697" s="2"/>
      <c r="C697" s="3"/>
      <c r="D697" s="3"/>
      <c r="E697" s="3"/>
      <c r="F697" s="3"/>
    </row>
    <row r="698" ht="15.75" customHeight="1">
      <c r="A698" s="18"/>
      <c r="B698" s="2"/>
      <c r="C698" s="3"/>
      <c r="D698" s="3"/>
      <c r="E698" s="3"/>
      <c r="F698" s="3"/>
    </row>
    <row r="699" ht="15.75" customHeight="1">
      <c r="A699" s="18"/>
      <c r="B699" s="2"/>
      <c r="C699" s="3"/>
      <c r="D699" s="3"/>
      <c r="E699" s="3"/>
      <c r="F699" s="3"/>
    </row>
    <row r="700" ht="15.75" customHeight="1">
      <c r="A700" s="18"/>
      <c r="B700" s="2"/>
      <c r="C700" s="3"/>
      <c r="D700" s="3"/>
      <c r="E700" s="3"/>
      <c r="F700" s="3"/>
    </row>
    <row r="701" ht="15.75" customHeight="1">
      <c r="A701" s="18"/>
      <c r="B701" s="2"/>
      <c r="C701" s="3"/>
      <c r="D701" s="3"/>
      <c r="E701" s="3"/>
      <c r="F701" s="3"/>
    </row>
    <row r="702" ht="15.75" customHeight="1">
      <c r="A702" s="18"/>
      <c r="B702" s="2"/>
      <c r="C702" s="3"/>
      <c r="D702" s="3"/>
      <c r="E702" s="3"/>
      <c r="F702" s="3"/>
    </row>
    <row r="703" ht="15.75" customHeight="1">
      <c r="A703" s="18"/>
      <c r="B703" s="2"/>
      <c r="C703" s="3"/>
      <c r="D703" s="3"/>
      <c r="E703" s="3"/>
      <c r="F703" s="3"/>
    </row>
    <row r="704" ht="15.75" customHeight="1">
      <c r="A704" s="18"/>
      <c r="B704" s="2"/>
      <c r="C704" s="3"/>
      <c r="D704" s="3"/>
      <c r="E704" s="3"/>
      <c r="F704" s="3"/>
    </row>
    <row r="705" ht="15.75" customHeight="1">
      <c r="A705" s="18"/>
      <c r="B705" s="2"/>
      <c r="C705" s="3"/>
      <c r="D705" s="3"/>
      <c r="E705" s="3"/>
      <c r="F705" s="3"/>
    </row>
    <row r="706" ht="15.75" customHeight="1">
      <c r="A706" s="18"/>
      <c r="B706" s="2"/>
      <c r="C706" s="3"/>
      <c r="D706" s="3"/>
      <c r="E706" s="3"/>
      <c r="F706" s="3"/>
    </row>
    <row r="707" ht="15.75" customHeight="1">
      <c r="A707" s="18"/>
      <c r="B707" s="2"/>
      <c r="C707" s="3"/>
      <c r="D707" s="3"/>
      <c r="E707" s="3"/>
      <c r="F707" s="3"/>
    </row>
    <row r="708" ht="15.75" customHeight="1">
      <c r="A708" s="18"/>
      <c r="B708" s="2"/>
      <c r="C708" s="3"/>
      <c r="D708" s="3"/>
      <c r="E708" s="3"/>
      <c r="F708" s="3"/>
    </row>
    <row r="709" ht="15.75" customHeight="1">
      <c r="A709" s="18"/>
      <c r="B709" s="2"/>
      <c r="C709" s="3"/>
      <c r="D709" s="3"/>
      <c r="E709" s="3"/>
      <c r="F709" s="3"/>
    </row>
    <row r="710" ht="15.75" customHeight="1">
      <c r="A710" s="18"/>
      <c r="B710" s="2"/>
      <c r="C710" s="3"/>
      <c r="D710" s="3"/>
      <c r="E710" s="3"/>
      <c r="F710" s="3"/>
    </row>
    <row r="711" ht="15.75" customHeight="1">
      <c r="A711" s="18"/>
      <c r="B711" s="2"/>
      <c r="C711" s="3"/>
      <c r="D711" s="3"/>
      <c r="E711" s="3"/>
      <c r="F711" s="3"/>
    </row>
    <row r="712" ht="15.75" customHeight="1">
      <c r="A712" s="18"/>
      <c r="B712" s="2"/>
      <c r="C712" s="3"/>
      <c r="D712" s="3"/>
      <c r="E712" s="3"/>
      <c r="F712" s="3"/>
    </row>
    <row r="713" ht="15.75" customHeight="1">
      <c r="A713" s="18"/>
      <c r="B713" s="2"/>
      <c r="C713" s="3"/>
      <c r="D713" s="3"/>
      <c r="E713" s="3"/>
      <c r="F713" s="3"/>
    </row>
    <row r="714" ht="15.75" customHeight="1">
      <c r="A714" s="18"/>
      <c r="B714" s="2"/>
      <c r="C714" s="3"/>
      <c r="D714" s="3"/>
      <c r="E714" s="3"/>
      <c r="F714" s="3"/>
    </row>
    <row r="715" ht="15.75" customHeight="1">
      <c r="A715" s="18"/>
      <c r="B715" s="2"/>
      <c r="C715" s="3"/>
      <c r="D715" s="3"/>
      <c r="E715" s="3"/>
      <c r="F715" s="3"/>
    </row>
    <row r="716" ht="15.75" customHeight="1">
      <c r="A716" s="18"/>
      <c r="B716" s="2"/>
      <c r="C716" s="3"/>
      <c r="D716" s="3"/>
      <c r="E716" s="3"/>
      <c r="F716" s="3"/>
    </row>
    <row r="717" ht="15.75" customHeight="1">
      <c r="A717" s="18"/>
      <c r="B717" s="2"/>
      <c r="C717" s="3"/>
      <c r="D717" s="3"/>
      <c r="E717" s="3"/>
      <c r="F717" s="3"/>
    </row>
    <row r="718" ht="15.75" customHeight="1">
      <c r="A718" s="18"/>
      <c r="B718" s="2"/>
      <c r="C718" s="3"/>
      <c r="D718" s="3"/>
      <c r="E718" s="3"/>
      <c r="F718" s="3"/>
    </row>
    <row r="719" ht="15.75" customHeight="1">
      <c r="A719" s="18"/>
      <c r="B719" s="2"/>
      <c r="C719" s="3"/>
      <c r="D719" s="3"/>
      <c r="E719" s="3"/>
      <c r="F719" s="3"/>
    </row>
    <row r="720" ht="15.75" customHeight="1">
      <c r="A720" s="18"/>
      <c r="B720" s="2"/>
      <c r="C720" s="3"/>
      <c r="D720" s="3"/>
      <c r="E720" s="3"/>
      <c r="F720" s="3"/>
    </row>
    <row r="721" ht="15.75" customHeight="1">
      <c r="A721" s="18"/>
      <c r="B721" s="2"/>
      <c r="C721" s="3"/>
      <c r="D721" s="3"/>
      <c r="E721" s="3"/>
      <c r="F721" s="3"/>
    </row>
    <row r="722" ht="15.75" customHeight="1">
      <c r="A722" s="18"/>
      <c r="B722" s="2"/>
      <c r="C722" s="3"/>
      <c r="D722" s="3"/>
      <c r="E722" s="3"/>
      <c r="F722" s="3"/>
    </row>
    <row r="723" ht="15.75" customHeight="1">
      <c r="A723" s="18"/>
      <c r="B723" s="2"/>
      <c r="C723" s="3"/>
      <c r="D723" s="3"/>
      <c r="E723" s="3"/>
      <c r="F723" s="3"/>
    </row>
    <row r="724" ht="15.75" customHeight="1">
      <c r="A724" s="18"/>
      <c r="B724" s="2"/>
      <c r="C724" s="3"/>
      <c r="D724" s="3"/>
      <c r="E724" s="3"/>
      <c r="F724" s="3"/>
    </row>
    <row r="725" ht="15.75" customHeight="1">
      <c r="A725" s="18"/>
      <c r="B725" s="2"/>
      <c r="C725" s="3"/>
      <c r="D725" s="3"/>
      <c r="E725" s="3"/>
      <c r="F725" s="3"/>
    </row>
    <row r="726" ht="15.75" customHeight="1">
      <c r="A726" s="18"/>
      <c r="B726" s="2"/>
      <c r="C726" s="3"/>
      <c r="D726" s="3"/>
      <c r="E726" s="3"/>
      <c r="F726" s="3"/>
    </row>
    <row r="727" ht="15.75" customHeight="1">
      <c r="A727" s="18"/>
      <c r="B727" s="2"/>
      <c r="C727" s="3"/>
      <c r="D727" s="3"/>
      <c r="E727" s="3"/>
      <c r="F727" s="3"/>
    </row>
    <row r="728" ht="15.75" customHeight="1">
      <c r="A728" s="18"/>
      <c r="B728" s="2"/>
      <c r="C728" s="3"/>
      <c r="D728" s="3"/>
      <c r="E728" s="3"/>
      <c r="F728" s="3"/>
    </row>
    <row r="729" ht="15.75" customHeight="1">
      <c r="A729" s="18"/>
      <c r="B729" s="2"/>
      <c r="C729" s="3"/>
      <c r="D729" s="3"/>
      <c r="E729" s="3"/>
      <c r="F729" s="3"/>
    </row>
    <row r="730" ht="15.75" customHeight="1">
      <c r="A730" s="18"/>
      <c r="B730" s="2"/>
      <c r="C730" s="3"/>
      <c r="D730" s="3"/>
      <c r="E730" s="3"/>
      <c r="F730" s="3"/>
    </row>
    <row r="731" ht="15.75" customHeight="1">
      <c r="A731" s="18"/>
      <c r="B731" s="2"/>
      <c r="C731" s="3"/>
      <c r="D731" s="3"/>
      <c r="E731" s="3"/>
      <c r="F731" s="3"/>
    </row>
    <row r="732" ht="15.75" customHeight="1">
      <c r="A732" s="18"/>
      <c r="B732" s="2"/>
      <c r="C732" s="3"/>
      <c r="D732" s="3"/>
      <c r="E732" s="3"/>
      <c r="F732" s="3"/>
    </row>
    <row r="733" ht="15.75" customHeight="1">
      <c r="A733" s="18"/>
      <c r="B733" s="2"/>
      <c r="C733" s="3"/>
      <c r="D733" s="3"/>
      <c r="E733" s="3"/>
      <c r="F733" s="3"/>
    </row>
    <row r="734" ht="15.75" customHeight="1">
      <c r="A734" s="18"/>
      <c r="B734" s="2"/>
      <c r="C734" s="3"/>
      <c r="D734" s="3"/>
      <c r="E734" s="3"/>
      <c r="F734" s="3"/>
    </row>
    <row r="735" ht="15.75" customHeight="1">
      <c r="A735" s="18"/>
      <c r="B735" s="2"/>
      <c r="C735" s="3"/>
      <c r="D735" s="3"/>
      <c r="E735" s="3"/>
      <c r="F735" s="3"/>
    </row>
    <row r="736" ht="15.75" customHeight="1">
      <c r="A736" s="18"/>
      <c r="B736" s="2"/>
      <c r="C736" s="3"/>
      <c r="D736" s="3"/>
      <c r="E736" s="3"/>
      <c r="F736" s="3"/>
    </row>
    <row r="737" ht="15.75" customHeight="1">
      <c r="A737" s="18"/>
      <c r="B737" s="2"/>
      <c r="C737" s="3"/>
      <c r="D737" s="3"/>
      <c r="E737" s="3"/>
      <c r="F737" s="3"/>
    </row>
    <row r="738" ht="15.75" customHeight="1">
      <c r="A738" s="18"/>
      <c r="B738" s="2"/>
      <c r="C738" s="3"/>
      <c r="D738" s="3"/>
      <c r="E738" s="3"/>
      <c r="F738" s="3"/>
    </row>
    <row r="739" ht="15.75" customHeight="1">
      <c r="A739" s="18"/>
      <c r="B739" s="2"/>
      <c r="C739" s="3"/>
      <c r="D739" s="3"/>
      <c r="E739" s="3"/>
      <c r="F739" s="3"/>
    </row>
    <row r="740" ht="15.75" customHeight="1">
      <c r="A740" s="18"/>
      <c r="B740" s="2"/>
      <c r="C740" s="3"/>
      <c r="D740" s="3"/>
      <c r="E740" s="3"/>
      <c r="F740" s="3"/>
    </row>
    <row r="741" ht="15.75" customHeight="1">
      <c r="A741" s="18"/>
      <c r="B741" s="2"/>
      <c r="C741" s="3"/>
      <c r="D741" s="3"/>
      <c r="E741" s="3"/>
      <c r="F741" s="3"/>
    </row>
    <row r="742" ht="15.75" customHeight="1">
      <c r="A742" s="18"/>
      <c r="B742" s="2"/>
      <c r="C742" s="3"/>
      <c r="D742" s="3"/>
      <c r="E742" s="3"/>
      <c r="F742" s="3"/>
    </row>
    <row r="743" ht="15.75" customHeight="1">
      <c r="A743" s="18"/>
      <c r="B743" s="2"/>
      <c r="C743" s="3"/>
      <c r="D743" s="3"/>
      <c r="E743" s="3"/>
      <c r="F743" s="3"/>
    </row>
    <row r="744" ht="15.75" customHeight="1">
      <c r="A744" s="18"/>
      <c r="B744" s="2"/>
      <c r="C744" s="3"/>
      <c r="D744" s="3"/>
      <c r="E744" s="3"/>
      <c r="F744" s="3"/>
    </row>
    <row r="745" ht="15.75" customHeight="1">
      <c r="A745" s="18"/>
      <c r="B745" s="2"/>
      <c r="C745" s="3"/>
      <c r="D745" s="3"/>
      <c r="E745" s="3"/>
      <c r="F745" s="3"/>
    </row>
    <row r="746" ht="15.75" customHeight="1">
      <c r="A746" s="18"/>
      <c r="B746" s="2"/>
      <c r="C746" s="3"/>
      <c r="D746" s="3"/>
      <c r="E746" s="3"/>
      <c r="F746" s="3"/>
    </row>
    <row r="747" ht="15.75" customHeight="1">
      <c r="A747" s="18"/>
      <c r="B747" s="2"/>
      <c r="C747" s="3"/>
      <c r="D747" s="3"/>
      <c r="E747" s="3"/>
      <c r="F747" s="3"/>
    </row>
    <row r="748" ht="15.75" customHeight="1">
      <c r="A748" s="18"/>
      <c r="B748" s="2"/>
      <c r="C748" s="3"/>
      <c r="D748" s="3"/>
      <c r="E748" s="3"/>
      <c r="F748" s="3"/>
    </row>
    <row r="749" ht="15.75" customHeight="1">
      <c r="A749" s="18"/>
      <c r="B749" s="2"/>
      <c r="C749" s="3"/>
      <c r="D749" s="3"/>
      <c r="E749" s="3"/>
      <c r="F749" s="3"/>
    </row>
    <row r="750" ht="15.75" customHeight="1">
      <c r="A750" s="18"/>
      <c r="B750" s="2"/>
      <c r="C750" s="3"/>
      <c r="D750" s="3"/>
      <c r="E750" s="3"/>
      <c r="F750" s="3"/>
    </row>
    <row r="751" ht="15.75" customHeight="1">
      <c r="A751" s="18"/>
      <c r="B751" s="2"/>
      <c r="C751" s="3"/>
      <c r="D751" s="3"/>
      <c r="E751" s="3"/>
      <c r="F751" s="3"/>
    </row>
    <row r="752" ht="15.75" customHeight="1">
      <c r="A752" s="18"/>
      <c r="B752" s="2"/>
      <c r="C752" s="3"/>
      <c r="D752" s="3"/>
      <c r="E752" s="3"/>
      <c r="F752" s="3"/>
    </row>
    <row r="753" ht="15.75" customHeight="1">
      <c r="A753" s="18"/>
      <c r="B753" s="2"/>
      <c r="C753" s="3"/>
      <c r="D753" s="3"/>
      <c r="E753" s="3"/>
      <c r="F753" s="3"/>
    </row>
    <row r="754" ht="15.75" customHeight="1">
      <c r="A754" s="18"/>
      <c r="B754" s="2"/>
      <c r="C754" s="3"/>
      <c r="D754" s="3"/>
      <c r="E754" s="3"/>
      <c r="F754" s="3"/>
    </row>
    <row r="755" ht="15.75" customHeight="1">
      <c r="A755" s="18"/>
      <c r="B755" s="2"/>
      <c r="C755" s="3"/>
      <c r="D755" s="3"/>
      <c r="E755" s="3"/>
      <c r="F755" s="3"/>
    </row>
    <row r="756" ht="15.75" customHeight="1">
      <c r="A756" s="18"/>
      <c r="B756" s="2"/>
      <c r="C756" s="3"/>
      <c r="D756" s="3"/>
      <c r="E756" s="3"/>
      <c r="F756" s="3"/>
    </row>
    <row r="757" ht="15.75" customHeight="1">
      <c r="A757" s="18"/>
      <c r="B757" s="2"/>
      <c r="C757" s="3"/>
      <c r="D757" s="3"/>
      <c r="E757" s="3"/>
      <c r="F757" s="3"/>
    </row>
    <row r="758" ht="15.75" customHeight="1">
      <c r="A758" s="18"/>
      <c r="B758" s="2"/>
      <c r="C758" s="3"/>
      <c r="D758" s="3"/>
      <c r="E758" s="3"/>
      <c r="F758" s="3"/>
    </row>
    <row r="759" ht="15.75" customHeight="1">
      <c r="A759" s="18"/>
      <c r="B759" s="2"/>
      <c r="C759" s="3"/>
      <c r="D759" s="3"/>
      <c r="E759" s="3"/>
      <c r="F759" s="3"/>
    </row>
    <row r="760" ht="15.75" customHeight="1">
      <c r="A760" s="18"/>
      <c r="B760" s="2"/>
      <c r="C760" s="3"/>
      <c r="D760" s="3"/>
      <c r="E760" s="3"/>
      <c r="F760" s="3"/>
    </row>
    <row r="761" ht="15.75" customHeight="1">
      <c r="A761" s="18"/>
      <c r="B761" s="2"/>
      <c r="C761" s="3"/>
      <c r="D761" s="3"/>
      <c r="E761" s="3"/>
      <c r="F761" s="3"/>
    </row>
    <row r="762" ht="15.75" customHeight="1">
      <c r="A762" s="18"/>
      <c r="B762" s="2"/>
      <c r="C762" s="3"/>
      <c r="D762" s="3"/>
      <c r="E762" s="3"/>
      <c r="F762" s="3"/>
    </row>
    <row r="763" ht="15.75" customHeight="1">
      <c r="A763" s="18"/>
      <c r="B763" s="2"/>
      <c r="C763" s="3"/>
      <c r="D763" s="3"/>
      <c r="E763" s="3"/>
      <c r="F763" s="3"/>
    </row>
    <row r="764" ht="15.75" customHeight="1">
      <c r="A764" s="18"/>
      <c r="B764" s="2"/>
      <c r="C764" s="3"/>
      <c r="D764" s="3"/>
      <c r="E764" s="3"/>
      <c r="F764" s="3"/>
    </row>
    <row r="765" ht="15.75" customHeight="1">
      <c r="A765" s="18"/>
      <c r="B765" s="2"/>
      <c r="C765" s="3"/>
      <c r="D765" s="3"/>
      <c r="E765" s="3"/>
      <c r="F765" s="3"/>
    </row>
    <row r="766" ht="15.75" customHeight="1">
      <c r="A766" s="18"/>
      <c r="B766" s="2"/>
      <c r="C766" s="3"/>
      <c r="D766" s="3"/>
      <c r="E766" s="3"/>
      <c r="F766" s="3"/>
    </row>
    <row r="767" ht="15.75" customHeight="1">
      <c r="A767" s="18"/>
      <c r="B767" s="2"/>
      <c r="C767" s="3"/>
      <c r="D767" s="3"/>
      <c r="E767" s="3"/>
      <c r="F767" s="3"/>
    </row>
    <row r="768" ht="15.75" customHeight="1">
      <c r="A768" s="18"/>
      <c r="B768" s="2"/>
      <c r="C768" s="3"/>
      <c r="D768" s="3"/>
      <c r="E768" s="3"/>
      <c r="F768" s="3"/>
    </row>
    <row r="769" ht="15.75" customHeight="1">
      <c r="A769" s="18"/>
      <c r="B769" s="2"/>
      <c r="C769" s="3"/>
      <c r="D769" s="3"/>
      <c r="E769" s="3"/>
      <c r="F769" s="3"/>
    </row>
    <row r="770" ht="15.75" customHeight="1">
      <c r="A770" s="18"/>
      <c r="B770" s="2"/>
      <c r="C770" s="3"/>
      <c r="D770" s="3"/>
      <c r="E770" s="3"/>
      <c r="F770" s="3"/>
    </row>
    <row r="771" ht="15.75" customHeight="1">
      <c r="A771" s="18"/>
      <c r="B771" s="2"/>
      <c r="C771" s="3"/>
      <c r="D771" s="3"/>
      <c r="E771" s="3"/>
      <c r="F771" s="3"/>
    </row>
    <row r="772" ht="15.75" customHeight="1">
      <c r="A772" s="18"/>
      <c r="B772" s="2"/>
      <c r="C772" s="3"/>
      <c r="D772" s="3"/>
      <c r="E772" s="3"/>
      <c r="F772" s="3"/>
    </row>
    <row r="773" ht="15.75" customHeight="1">
      <c r="A773" s="18"/>
      <c r="B773" s="2"/>
      <c r="C773" s="3"/>
      <c r="D773" s="3"/>
      <c r="E773" s="3"/>
      <c r="F773" s="3"/>
    </row>
    <row r="774" ht="15.75" customHeight="1">
      <c r="A774" s="18"/>
      <c r="B774" s="2"/>
      <c r="C774" s="3"/>
      <c r="D774" s="3"/>
      <c r="E774" s="3"/>
      <c r="F774" s="3"/>
    </row>
    <row r="775" ht="15.75" customHeight="1">
      <c r="A775" s="18"/>
      <c r="B775" s="2"/>
      <c r="C775" s="3"/>
      <c r="D775" s="3"/>
      <c r="E775" s="3"/>
      <c r="F775" s="3"/>
    </row>
    <row r="776" ht="15.75" customHeight="1">
      <c r="A776" s="18"/>
      <c r="B776" s="2"/>
      <c r="C776" s="3"/>
      <c r="D776" s="3"/>
      <c r="E776" s="3"/>
      <c r="F776" s="3"/>
    </row>
    <row r="777" ht="15.75" customHeight="1">
      <c r="A777" s="18"/>
      <c r="B777" s="2"/>
      <c r="C777" s="3"/>
      <c r="D777" s="3"/>
      <c r="E777" s="3"/>
      <c r="F777" s="3"/>
    </row>
    <row r="778" ht="15.75" customHeight="1">
      <c r="A778" s="18"/>
      <c r="B778" s="2"/>
      <c r="C778" s="3"/>
      <c r="D778" s="3"/>
      <c r="E778" s="3"/>
      <c r="F778" s="3"/>
    </row>
    <row r="779" ht="15.75" customHeight="1">
      <c r="A779" s="18"/>
      <c r="B779" s="2"/>
      <c r="C779" s="3"/>
      <c r="D779" s="3"/>
      <c r="E779" s="3"/>
      <c r="F779" s="3"/>
    </row>
    <row r="780" ht="15.75" customHeight="1">
      <c r="A780" s="18"/>
      <c r="B780" s="2"/>
      <c r="C780" s="3"/>
      <c r="D780" s="3"/>
      <c r="E780" s="3"/>
      <c r="F780" s="3"/>
    </row>
    <row r="781" ht="15.75" customHeight="1">
      <c r="A781" s="18"/>
      <c r="B781" s="2"/>
      <c r="C781" s="3"/>
      <c r="D781" s="3"/>
      <c r="E781" s="3"/>
      <c r="F781" s="3"/>
    </row>
    <row r="782" ht="15.75" customHeight="1">
      <c r="A782" s="18"/>
      <c r="B782" s="2"/>
      <c r="C782" s="3"/>
      <c r="D782" s="3"/>
      <c r="E782" s="3"/>
      <c r="F782" s="3"/>
    </row>
    <row r="783" ht="15.75" customHeight="1">
      <c r="A783" s="18"/>
      <c r="B783" s="2"/>
      <c r="C783" s="3"/>
      <c r="D783" s="3"/>
      <c r="E783" s="3"/>
      <c r="F783" s="3"/>
    </row>
    <row r="784" ht="15.75" customHeight="1">
      <c r="A784" s="18"/>
      <c r="B784" s="2"/>
      <c r="C784" s="3"/>
      <c r="D784" s="3"/>
      <c r="E784" s="3"/>
      <c r="F784" s="3"/>
    </row>
    <row r="785" ht="15.75" customHeight="1">
      <c r="A785" s="18"/>
      <c r="B785" s="2"/>
      <c r="C785" s="3"/>
      <c r="D785" s="3"/>
      <c r="E785" s="3"/>
      <c r="F785" s="3"/>
    </row>
    <row r="786" ht="15.75" customHeight="1">
      <c r="A786" s="18"/>
      <c r="B786" s="2"/>
      <c r="C786" s="3"/>
      <c r="D786" s="3"/>
      <c r="E786" s="3"/>
      <c r="F786" s="3"/>
    </row>
    <row r="787" ht="15.75" customHeight="1">
      <c r="A787" s="18"/>
      <c r="B787" s="2"/>
      <c r="C787" s="3"/>
      <c r="D787" s="3"/>
      <c r="E787" s="3"/>
      <c r="F787" s="3"/>
    </row>
    <row r="788" ht="15.75" customHeight="1">
      <c r="A788" s="18"/>
      <c r="B788" s="2"/>
      <c r="C788" s="3"/>
      <c r="D788" s="3"/>
      <c r="E788" s="3"/>
      <c r="F788" s="3"/>
    </row>
    <row r="789" ht="15.75" customHeight="1">
      <c r="A789" s="18"/>
      <c r="B789" s="2"/>
      <c r="C789" s="3"/>
      <c r="D789" s="3"/>
      <c r="E789" s="3"/>
      <c r="F789" s="3"/>
    </row>
    <row r="790" ht="15.75" customHeight="1">
      <c r="A790" s="18"/>
      <c r="B790" s="2"/>
      <c r="C790" s="3"/>
      <c r="D790" s="3"/>
      <c r="E790" s="3"/>
      <c r="F790" s="3"/>
    </row>
    <row r="791" ht="15.75" customHeight="1">
      <c r="A791" s="18"/>
      <c r="B791" s="2"/>
      <c r="C791" s="3"/>
      <c r="D791" s="3"/>
      <c r="E791" s="3"/>
      <c r="F791" s="3"/>
    </row>
    <row r="792" ht="15.75" customHeight="1">
      <c r="A792" s="18"/>
      <c r="B792" s="2"/>
      <c r="C792" s="3"/>
      <c r="D792" s="3"/>
      <c r="E792" s="3"/>
      <c r="F792" s="3"/>
    </row>
    <row r="793" ht="15.75" customHeight="1">
      <c r="A793" s="18"/>
      <c r="B793" s="2"/>
      <c r="C793" s="3"/>
      <c r="D793" s="3"/>
      <c r="E793" s="3"/>
      <c r="F793" s="3"/>
    </row>
    <row r="794" ht="15.75" customHeight="1">
      <c r="A794" s="18"/>
      <c r="B794" s="2"/>
      <c r="C794" s="3"/>
      <c r="D794" s="3"/>
      <c r="E794" s="3"/>
      <c r="F794" s="3"/>
    </row>
    <row r="795" ht="15.75" customHeight="1">
      <c r="A795" s="18"/>
      <c r="B795" s="2"/>
      <c r="C795" s="3"/>
      <c r="D795" s="3"/>
      <c r="E795" s="3"/>
      <c r="F795" s="3"/>
    </row>
    <row r="796" ht="15.75" customHeight="1">
      <c r="A796" s="18"/>
      <c r="B796" s="2"/>
      <c r="C796" s="3"/>
      <c r="D796" s="3"/>
      <c r="E796" s="3"/>
      <c r="F796" s="3"/>
    </row>
    <row r="797" ht="15.75" customHeight="1">
      <c r="A797" s="18"/>
      <c r="B797" s="2"/>
      <c r="C797" s="3"/>
      <c r="D797" s="3"/>
      <c r="E797" s="3"/>
      <c r="F797" s="3"/>
    </row>
    <row r="798" ht="15.75" customHeight="1">
      <c r="A798" s="18"/>
      <c r="B798" s="2"/>
      <c r="C798" s="3"/>
      <c r="D798" s="3"/>
      <c r="E798" s="3"/>
      <c r="F798" s="3"/>
    </row>
    <row r="799" ht="15.75" customHeight="1">
      <c r="A799" s="18"/>
      <c r="B799" s="2"/>
      <c r="C799" s="3"/>
      <c r="D799" s="3"/>
      <c r="E799" s="3"/>
      <c r="F799" s="3"/>
    </row>
    <row r="800" ht="15.75" customHeight="1">
      <c r="A800" s="18"/>
      <c r="B800" s="2"/>
      <c r="C800" s="3"/>
      <c r="D800" s="3"/>
      <c r="E800" s="3"/>
      <c r="F800" s="3"/>
    </row>
    <row r="801" ht="15.75" customHeight="1">
      <c r="A801" s="18"/>
      <c r="B801" s="2"/>
      <c r="C801" s="3"/>
      <c r="D801" s="3"/>
      <c r="E801" s="3"/>
      <c r="F801" s="3"/>
    </row>
    <row r="802" ht="15.75" customHeight="1">
      <c r="A802" s="18"/>
      <c r="B802" s="2"/>
      <c r="C802" s="3"/>
      <c r="D802" s="3"/>
      <c r="E802" s="3"/>
      <c r="F802" s="3"/>
    </row>
    <row r="803" ht="15.75" customHeight="1">
      <c r="A803" s="18"/>
      <c r="B803" s="2"/>
      <c r="C803" s="3"/>
      <c r="D803" s="3"/>
      <c r="E803" s="3"/>
      <c r="F803" s="3"/>
    </row>
    <row r="804" ht="15.75" customHeight="1">
      <c r="A804" s="18"/>
      <c r="B804" s="2"/>
      <c r="C804" s="3"/>
      <c r="D804" s="3"/>
      <c r="E804" s="3"/>
      <c r="F804" s="3"/>
    </row>
    <row r="805" ht="15.75" customHeight="1">
      <c r="A805" s="18"/>
      <c r="B805" s="2"/>
      <c r="C805" s="3"/>
      <c r="D805" s="3"/>
      <c r="E805" s="3"/>
      <c r="F805" s="3"/>
    </row>
    <row r="806" ht="15.75" customHeight="1">
      <c r="A806" s="18"/>
      <c r="B806" s="2"/>
      <c r="C806" s="3"/>
      <c r="D806" s="3"/>
      <c r="E806" s="3"/>
      <c r="F806" s="3"/>
    </row>
    <row r="807" ht="15.75" customHeight="1">
      <c r="A807" s="18"/>
      <c r="B807" s="2"/>
      <c r="C807" s="3"/>
      <c r="D807" s="3"/>
      <c r="E807" s="3"/>
      <c r="F807" s="3"/>
    </row>
    <row r="808" ht="15.75" customHeight="1">
      <c r="A808" s="18"/>
      <c r="B808" s="2"/>
      <c r="C808" s="3"/>
      <c r="D808" s="3"/>
      <c r="E808" s="3"/>
      <c r="F808" s="3"/>
    </row>
    <row r="809" ht="15.75" customHeight="1">
      <c r="A809" s="18"/>
      <c r="B809" s="2"/>
      <c r="C809" s="3"/>
      <c r="D809" s="3"/>
      <c r="E809" s="3"/>
      <c r="F809" s="3"/>
    </row>
    <row r="810" ht="15.75" customHeight="1">
      <c r="A810" s="18"/>
      <c r="B810" s="2"/>
      <c r="C810" s="3"/>
      <c r="D810" s="3"/>
      <c r="E810" s="3"/>
      <c r="F810" s="3"/>
    </row>
    <row r="811" ht="15.75" customHeight="1">
      <c r="A811" s="18"/>
      <c r="B811" s="2"/>
      <c r="C811" s="3"/>
      <c r="D811" s="3"/>
      <c r="E811" s="3"/>
      <c r="F811" s="3"/>
    </row>
    <row r="812" ht="15.75" customHeight="1">
      <c r="A812" s="18"/>
      <c r="B812" s="2"/>
      <c r="C812" s="3"/>
      <c r="D812" s="3"/>
      <c r="E812" s="3"/>
      <c r="F812" s="3"/>
    </row>
    <row r="813" ht="15.75" customHeight="1">
      <c r="A813" s="18"/>
      <c r="B813" s="2"/>
      <c r="C813" s="3"/>
      <c r="D813" s="3"/>
      <c r="E813" s="3"/>
      <c r="F813" s="3"/>
    </row>
    <row r="814" ht="15.75" customHeight="1">
      <c r="A814" s="18"/>
      <c r="B814" s="2"/>
      <c r="C814" s="3"/>
      <c r="D814" s="3"/>
      <c r="E814" s="3"/>
      <c r="F814" s="3"/>
    </row>
    <row r="815" ht="15.75" customHeight="1">
      <c r="A815" s="18"/>
      <c r="B815" s="2"/>
      <c r="C815" s="3"/>
      <c r="D815" s="3"/>
      <c r="E815" s="3"/>
      <c r="F815" s="3"/>
    </row>
    <row r="816" ht="15.75" customHeight="1">
      <c r="A816" s="18"/>
      <c r="B816" s="2"/>
      <c r="C816" s="3"/>
      <c r="D816" s="3"/>
      <c r="E816" s="3"/>
      <c r="F816" s="3"/>
    </row>
    <row r="817" ht="15.75" customHeight="1">
      <c r="A817" s="18"/>
      <c r="B817" s="2"/>
      <c r="C817" s="3"/>
      <c r="D817" s="3"/>
      <c r="E817" s="3"/>
      <c r="F817" s="3"/>
    </row>
    <row r="818" ht="15.75" customHeight="1">
      <c r="A818" s="18"/>
      <c r="B818" s="2"/>
      <c r="C818" s="3"/>
      <c r="D818" s="3"/>
      <c r="E818" s="3"/>
      <c r="F818" s="3"/>
    </row>
    <row r="819" ht="15.75" customHeight="1">
      <c r="A819" s="18"/>
      <c r="B819" s="2"/>
      <c r="C819" s="3"/>
      <c r="D819" s="3"/>
      <c r="E819" s="3"/>
      <c r="F819" s="3"/>
    </row>
    <row r="820" ht="15.75" customHeight="1">
      <c r="A820" s="18"/>
      <c r="B820" s="2"/>
      <c r="C820" s="3"/>
      <c r="D820" s="3"/>
      <c r="E820" s="3"/>
      <c r="F820" s="3"/>
    </row>
    <row r="821" ht="15.75" customHeight="1">
      <c r="A821" s="18"/>
      <c r="B821" s="2"/>
      <c r="C821" s="3"/>
      <c r="D821" s="3"/>
      <c r="E821" s="3"/>
      <c r="F821" s="3"/>
    </row>
    <row r="822" ht="15.75" customHeight="1">
      <c r="A822" s="18"/>
      <c r="B822" s="2"/>
      <c r="C822" s="3"/>
      <c r="D822" s="3"/>
      <c r="E822" s="3"/>
      <c r="F822" s="3"/>
    </row>
    <row r="823" ht="15.75" customHeight="1">
      <c r="A823" s="18"/>
      <c r="B823" s="2"/>
      <c r="C823" s="3"/>
      <c r="D823" s="3"/>
      <c r="E823" s="3"/>
      <c r="F823" s="3"/>
    </row>
    <row r="824" ht="15.75" customHeight="1">
      <c r="A824" s="18"/>
      <c r="B824" s="2"/>
      <c r="C824" s="3"/>
      <c r="D824" s="3"/>
      <c r="E824" s="3"/>
      <c r="F824" s="3"/>
    </row>
    <row r="825" ht="15.75" customHeight="1">
      <c r="A825" s="18"/>
      <c r="B825" s="2"/>
      <c r="C825" s="3"/>
      <c r="D825" s="3"/>
      <c r="E825" s="3"/>
      <c r="F825" s="3"/>
    </row>
    <row r="826" ht="15.75" customHeight="1">
      <c r="A826" s="18"/>
      <c r="B826" s="2"/>
      <c r="C826" s="3"/>
      <c r="D826" s="3"/>
      <c r="E826" s="3"/>
      <c r="F826" s="3"/>
    </row>
    <row r="827" ht="15.75" customHeight="1">
      <c r="A827" s="18"/>
      <c r="B827" s="2"/>
      <c r="C827" s="3"/>
      <c r="D827" s="3"/>
      <c r="E827" s="3"/>
      <c r="F827" s="3"/>
    </row>
    <row r="828" ht="15.75" customHeight="1">
      <c r="A828" s="18"/>
      <c r="B828" s="2"/>
      <c r="C828" s="3"/>
      <c r="D828" s="3"/>
      <c r="E828" s="3"/>
      <c r="F828" s="3"/>
    </row>
    <row r="829" ht="15.75" customHeight="1">
      <c r="A829" s="18"/>
      <c r="B829" s="2"/>
      <c r="C829" s="3"/>
      <c r="D829" s="3"/>
      <c r="E829" s="3"/>
      <c r="F829" s="3"/>
    </row>
    <row r="830" ht="15.75" customHeight="1">
      <c r="A830" s="18"/>
      <c r="B830" s="2"/>
      <c r="C830" s="3"/>
      <c r="D830" s="3"/>
      <c r="E830" s="3"/>
      <c r="F830" s="3"/>
    </row>
    <row r="831" ht="15.75" customHeight="1">
      <c r="A831" s="18"/>
      <c r="B831" s="2"/>
      <c r="C831" s="3"/>
      <c r="D831" s="3"/>
      <c r="E831" s="3"/>
      <c r="F831" s="3"/>
    </row>
    <row r="832" ht="15.75" customHeight="1">
      <c r="A832" s="18"/>
      <c r="B832" s="2"/>
      <c r="C832" s="3"/>
      <c r="D832" s="3"/>
      <c r="E832" s="3"/>
      <c r="F832" s="3"/>
    </row>
    <row r="833" ht="15.75" customHeight="1">
      <c r="A833" s="18"/>
      <c r="B833" s="2"/>
      <c r="C833" s="3"/>
      <c r="D833" s="3"/>
      <c r="E833" s="3"/>
      <c r="F833" s="3"/>
    </row>
    <row r="834" ht="15.75" customHeight="1">
      <c r="A834" s="18"/>
      <c r="B834" s="2"/>
      <c r="C834" s="3"/>
      <c r="D834" s="3"/>
      <c r="E834" s="3"/>
      <c r="F834" s="3"/>
    </row>
    <row r="835" ht="15.75" customHeight="1">
      <c r="A835" s="18"/>
      <c r="B835" s="2"/>
      <c r="C835" s="3"/>
      <c r="D835" s="3"/>
      <c r="E835" s="3"/>
      <c r="F835" s="3"/>
    </row>
    <row r="836" ht="15.75" customHeight="1">
      <c r="A836" s="18"/>
      <c r="B836" s="2"/>
      <c r="C836" s="3"/>
      <c r="D836" s="3"/>
      <c r="E836" s="3"/>
      <c r="F836" s="3"/>
    </row>
    <row r="837" ht="15.75" customHeight="1">
      <c r="A837" s="18"/>
      <c r="B837" s="2"/>
      <c r="C837" s="3"/>
      <c r="D837" s="3"/>
      <c r="E837" s="3"/>
      <c r="F837" s="3"/>
    </row>
    <row r="838" ht="15.75" customHeight="1">
      <c r="A838" s="18"/>
      <c r="B838" s="2"/>
      <c r="C838" s="3"/>
      <c r="D838" s="3"/>
      <c r="E838" s="3"/>
      <c r="F838" s="3"/>
    </row>
    <row r="839" ht="15.75" customHeight="1">
      <c r="A839" s="18"/>
      <c r="B839" s="2"/>
      <c r="C839" s="3"/>
      <c r="D839" s="3"/>
      <c r="E839" s="3"/>
      <c r="F839" s="3"/>
    </row>
    <row r="840" ht="15.75" customHeight="1">
      <c r="A840" s="18"/>
      <c r="B840" s="2"/>
      <c r="C840" s="3"/>
      <c r="D840" s="3"/>
      <c r="E840" s="3"/>
      <c r="F840" s="3"/>
    </row>
    <row r="841" ht="15.75" customHeight="1">
      <c r="A841" s="18"/>
      <c r="B841" s="2"/>
      <c r="C841" s="3"/>
      <c r="D841" s="3"/>
      <c r="E841" s="3"/>
      <c r="F841" s="3"/>
    </row>
    <row r="842" ht="15.75" customHeight="1">
      <c r="A842" s="18"/>
      <c r="B842" s="2"/>
      <c r="C842" s="3"/>
      <c r="D842" s="3"/>
      <c r="E842" s="3"/>
      <c r="F842" s="3"/>
    </row>
    <row r="843" ht="15.75" customHeight="1">
      <c r="A843" s="18"/>
      <c r="B843" s="2"/>
      <c r="C843" s="3"/>
      <c r="D843" s="3"/>
      <c r="E843" s="3"/>
      <c r="F843" s="3"/>
    </row>
    <row r="844" ht="15.75" customHeight="1">
      <c r="A844" s="18"/>
      <c r="B844" s="2"/>
      <c r="C844" s="3"/>
      <c r="D844" s="3"/>
      <c r="E844" s="3"/>
      <c r="F844" s="3"/>
    </row>
    <row r="845" ht="15.75" customHeight="1">
      <c r="A845" s="18"/>
      <c r="B845" s="2"/>
      <c r="C845" s="3"/>
      <c r="D845" s="3"/>
      <c r="E845" s="3"/>
      <c r="F845" s="3"/>
    </row>
    <row r="846" ht="15.75" customHeight="1">
      <c r="A846" s="18"/>
      <c r="B846" s="2"/>
      <c r="C846" s="3"/>
      <c r="D846" s="3"/>
      <c r="E846" s="3"/>
      <c r="F846" s="3"/>
    </row>
    <row r="847" ht="15.75" customHeight="1">
      <c r="A847" s="18"/>
      <c r="B847" s="2"/>
      <c r="C847" s="3"/>
      <c r="D847" s="3"/>
      <c r="E847" s="3"/>
      <c r="F847" s="3"/>
    </row>
    <row r="848" ht="15.75" customHeight="1">
      <c r="A848" s="18"/>
      <c r="B848" s="2"/>
      <c r="C848" s="3"/>
      <c r="D848" s="3"/>
      <c r="E848" s="3"/>
      <c r="F848" s="3"/>
    </row>
    <row r="849" ht="15.75" customHeight="1">
      <c r="A849" s="18"/>
      <c r="B849" s="2"/>
      <c r="C849" s="3"/>
      <c r="D849" s="3"/>
      <c r="E849" s="3"/>
      <c r="F849" s="3"/>
    </row>
    <row r="850" ht="15.75" customHeight="1">
      <c r="A850" s="18"/>
      <c r="B850" s="2"/>
      <c r="C850" s="3"/>
      <c r="D850" s="3"/>
      <c r="E850" s="3"/>
      <c r="F850" s="3"/>
    </row>
    <row r="851" ht="15.75" customHeight="1">
      <c r="A851" s="18"/>
      <c r="B851" s="2"/>
      <c r="C851" s="3"/>
      <c r="D851" s="3"/>
      <c r="E851" s="3"/>
      <c r="F851" s="3"/>
    </row>
    <row r="852" ht="15.75" customHeight="1">
      <c r="A852" s="18"/>
      <c r="B852" s="2"/>
      <c r="C852" s="3"/>
      <c r="D852" s="3"/>
      <c r="E852" s="3"/>
      <c r="F852" s="3"/>
    </row>
    <row r="853" ht="15.75" customHeight="1">
      <c r="A853" s="18"/>
      <c r="B853" s="2"/>
      <c r="C853" s="3"/>
      <c r="D853" s="3"/>
      <c r="E853" s="3"/>
      <c r="F853" s="3"/>
    </row>
    <row r="854" ht="15.75" customHeight="1">
      <c r="A854" s="18"/>
      <c r="B854" s="2"/>
      <c r="C854" s="3"/>
      <c r="D854" s="3"/>
      <c r="E854" s="3"/>
      <c r="F854" s="3"/>
    </row>
    <row r="855" ht="15.75" customHeight="1">
      <c r="A855" s="18"/>
      <c r="B855" s="2"/>
      <c r="C855" s="3"/>
      <c r="D855" s="3"/>
      <c r="E855" s="3"/>
      <c r="F855" s="3"/>
    </row>
    <row r="856" ht="15.75" customHeight="1">
      <c r="A856" s="18"/>
      <c r="B856" s="2"/>
      <c r="C856" s="3"/>
      <c r="D856" s="3"/>
      <c r="E856" s="3"/>
      <c r="F856" s="3"/>
    </row>
    <row r="857" ht="15.75" customHeight="1">
      <c r="A857" s="18"/>
      <c r="B857" s="2"/>
      <c r="C857" s="3"/>
      <c r="D857" s="3"/>
      <c r="E857" s="3"/>
      <c r="F857" s="3"/>
    </row>
    <row r="858" ht="15.75" customHeight="1">
      <c r="A858" s="18"/>
      <c r="B858" s="2"/>
      <c r="C858" s="3"/>
      <c r="D858" s="3"/>
      <c r="E858" s="3"/>
      <c r="F858" s="3"/>
    </row>
    <row r="859" ht="15.75" customHeight="1">
      <c r="A859" s="18"/>
      <c r="B859" s="2"/>
      <c r="C859" s="3"/>
      <c r="D859" s="3"/>
      <c r="E859" s="3"/>
      <c r="F859" s="3"/>
    </row>
    <row r="860" ht="15.75" customHeight="1">
      <c r="A860" s="18"/>
      <c r="B860" s="2"/>
      <c r="C860" s="3"/>
      <c r="D860" s="3"/>
      <c r="E860" s="3"/>
      <c r="F860" s="3"/>
    </row>
    <row r="861" ht="15.75" customHeight="1">
      <c r="A861" s="18"/>
      <c r="B861" s="2"/>
      <c r="C861" s="3"/>
      <c r="D861" s="3"/>
      <c r="E861" s="3"/>
      <c r="F861" s="3"/>
    </row>
    <row r="862" ht="15.75" customHeight="1">
      <c r="A862" s="18"/>
      <c r="B862" s="2"/>
      <c r="C862" s="3"/>
      <c r="D862" s="3"/>
      <c r="E862" s="3"/>
      <c r="F862" s="3"/>
    </row>
    <row r="863" ht="15.75" customHeight="1">
      <c r="A863" s="18"/>
      <c r="B863" s="2"/>
      <c r="C863" s="3"/>
      <c r="D863" s="3"/>
      <c r="E863" s="3"/>
      <c r="F863" s="3"/>
    </row>
    <row r="864" ht="15.75" customHeight="1">
      <c r="A864" s="18"/>
      <c r="B864" s="2"/>
      <c r="C864" s="3"/>
      <c r="D864" s="3"/>
      <c r="E864" s="3"/>
      <c r="F864" s="3"/>
    </row>
    <row r="865" ht="15.75" customHeight="1">
      <c r="A865" s="18"/>
      <c r="B865" s="2"/>
      <c r="C865" s="3"/>
      <c r="D865" s="3"/>
      <c r="E865" s="3"/>
      <c r="F865" s="3"/>
    </row>
    <row r="866" ht="15.75" customHeight="1">
      <c r="A866" s="18"/>
      <c r="B866" s="2"/>
      <c r="C866" s="3"/>
      <c r="D866" s="3"/>
      <c r="E866" s="3"/>
      <c r="F866" s="3"/>
    </row>
    <row r="867" ht="15.75" customHeight="1">
      <c r="A867" s="18"/>
      <c r="B867" s="2"/>
      <c r="C867" s="3"/>
      <c r="D867" s="3"/>
      <c r="E867" s="3"/>
      <c r="F867" s="3"/>
    </row>
    <row r="868" ht="15.75" customHeight="1">
      <c r="A868" s="18"/>
      <c r="B868" s="2"/>
      <c r="C868" s="3"/>
      <c r="D868" s="3"/>
      <c r="E868" s="3"/>
      <c r="F868" s="3"/>
    </row>
    <row r="869" ht="15.75" customHeight="1">
      <c r="A869" s="18"/>
      <c r="B869" s="2"/>
      <c r="C869" s="3"/>
      <c r="D869" s="3"/>
      <c r="E869" s="3"/>
      <c r="F869" s="3"/>
    </row>
    <row r="870" ht="15.75" customHeight="1">
      <c r="A870" s="18"/>
      <c r="B870" s="2"/>
      <c r="C870" s="3"/>
      <c r="D870" s="3"/>
      <c r="E870" s="3"/>
      <c r="F870" s="3"/>
    </row>
    <row r="871" ht="15.75" customHeight="1">
      <c r="A871" s="18"/>
      <c r="B871" s="2"/>
      <c r="C871" s="3"/>
      <c r="D871" s="3"/>
      <c r="E871" s="3"/>
      <c r="F871" s="3"/>
    </row>
    <row r="872" ht="15.75" customHeight="1">
      <c r="A872" s="18"/>
      <c r="B872" s="2"/>
      <c r="C872" s="3"/>
      <c r="D872" s="3"/>
      <c r="E872" s="3"/>
      <c r="F872" s="3"/>
    </row>
    <row r="873" ht="15.75" customHeight="1">
      <c r="A873" s="18"/>
      <c r="B873" s="2"/>
      <c r="C873" s="3"/>
      <c r="D873" s="3"/>
      <c r="E873" s="3"/>
      <c r="F873" s="3"/>
    </row>
    <row r="874" ht="15.75" customHeight="1">
      <c r="A874" s="18"/>
      <c r="B874" s="2"/>
      <c r="C874" s="3"/>
      <c r="D874" s="3"/>
      <c r="E874" s="3"/>
      <c r="F874" s="3"/>
    </row>
    <row r="875" ht="15.75" customHeight="1">
      <c r="A875" s="18"/>
      <c r="B875" s="2"/>
      <c r="C875" s="3"/>
      <c r="D875" s="3"/>
      <c r="E875" s="3"/>
      <c r="F875" s="3"/>
    </row>
    <row r="876" ht="15.75" customHeight="1">
      <c r="A876" s="18"/>
      <c r="B876" s="2"/>
      <c r="C876" s="3"/>
      <c r="D876" s="3"/>
      <c r="E876" s="3"/>
      <c r="F876" s="3"/>
    </row>
    <row r="877" ht="15.75" customHeight="1">
      <c r="A877" s="18"/>
      <c r="B877" s="2"/>
      <c r="C877" s="3"/>
      <c r="D877" s="3"/>
      <c r="E877" s="3"/>
      <c r="F877" s="3"/>
    </row>
    <row r="878" ht="15.75" customHeight="1">
      <c r="A878" s="18"/>
      <c r="B878" s="2"/>
      <c r="C878" s="3"/>
      <c r="D878" s="3"/>
      <c r="E878" s="3"/>
      <c r="F878" s="3"/>
    </row>
    <row r="879" ht="15.75" customHeight="1">
      <c r="A879" s="18"/>
      <c r="B879" s="2"/>
      <c r="C879" s="3"/>
      <c r="D879" s="3"/>
      <c r="E879" s="3"/>
      <c r="F879" s="3"/>
    </row>
    <row r="880" ht="15.75" customHeight="1">
      <c r="A880" s="18"/>
      <c r="B880" s="2"/>
      <c r="C880" s="3"/>
      <c r="D880" s="3"/>
      <c r="E880" s="3"/>
      <c r="F880" s="3"/>
    </row>
    <row r="881" ht="15.75" customHeight="1">
      <c r="A881" s="18"/>
      <c r="B881" s="2"/>
      <c r="C881" s="3"/>
      <c r="D881" s="3"/>
      <c r="E881" s="3"/>
      <c r="F881" s="3"/>
    </row>
    <row r="882" ht="15.75" customHeight="1">
      <c r="A882" s="18"/>
      <c r="B882" s="2"/>
      <c r="C882" s="3"/>
      <c r="D882" s="3"/>
      <c r="E882" s="3"/>
      <c r="F882" s="3"/>
    </row>
    <row r="883" ht="15.75" customHeight="1">
      <c r="A883" s="18"/>
      <c r="B883" s="2"/>
      <c r="C883" s="3"/>
      <c r="D883" s="3"/>
      <c r="E883" s="3"/>
      <c r="F883" s="3"/>
    </row>
    <row r="884" ht="15.75" customHeight="1">
      <c r="A884" s="18"/>
      <c r="B884" s="2"/>
      <c r="C884" s="3"/>
      <c r="D884" s="3"/>
      <c r="E884" s="3"/>
      <c r="F884" s="3"/>
    </row>
    <row r="885" ht="15.75" customHeight="1">
      <c r="A885" s="18"/>
      <c r="B885" s="2"/>
      <c r="C885" s="3"/>
      <c r="D885" s="3"/>
      <c r="E885" s="3"/>
      <c r="F885" s="3"/>
    </row>
    <row r="886" ht="15.75" customHeight="1">
      <c r="A886" s="18"/>
      <c r="B886" s="2"/>
      <c r="C886" s="3"/>
      <c r="D886" s="3"/>
      <c r="E886" s="3"/>
      <c r="F886" s="3"/>
    </row>
    <row r="887" ht="15.75" customHeight="1">
      <c r="A887" s="18"/>
      <c r="B887" s="2"/>
      <c r="C887" s="3"/>
      <c r="D887" s="3"/>
      <c r="E887" s="3"/>
      <c r="F887" s="3"/>
    </row>
    <row r="888" ht="15.75" customHeight="1">
      <c r="A888" s="18"/>
      <c r="B888" s="2"/>
      <c r="C888" s="3"/>
      <c r="D888" s="3"/>
      <c r="E888" s="3"/>
      <c r="F888" s="3"/>
    </row>
    <row r="889" ht="15.75" customHeight="1">
      <c r="A889" s="18"/>
      <c r="B889" s="2"/>
      <c r="C889" s="3"/>
      <c r="D889" s="3"/>
      <c r="E889" s="3"/>
      <c r="F889" s="3"/>
    </row>
    <row r="890" ht="15.75" customHeight="1">
      <c r="A890" s="18"/>
      <c r="B890" s="2"/>
      <c r="C890" s="3"/>
      <c r="D890" s="3"/>
      <c r="E890" s="3"/>
      <c r="F890" s="3"/>
    </row>
    <row r="891" ht="15.75" customHeight="1">
      <c r="A891" s="18"/>
      <c r="B891" s="2"/>
      <c r="C891" s="3"/>
      <c r="D891" s="3"/>
      <c r="E891" s="3"/>
      <c r="F891" s="3"/>
    </row>
    <row r="892" ht="15.75" customHeight="1">
      <c r="A892" s="18"/>
      <c r="B892" s="2"/>
      <c r="C892" s="3"/>
      <c r="D892" s="3"/>
      <c r="E892" s="3"/>
      <c r="F892" s="3"/>
    </row>
    <row r="893" ht="15.75" customHeight="1">
      <c r="A893" s="18"/>
      <c r="B893" s="2"/>
      <c r="C893" s="3"/>
      <c r="D893" s="3"/>
      <c r="E893" s="3"/>
      <c r="F893" s="3"/>
    </row>
    <row r="894" ht="15.75" customHeight="1">
      <c r="A894" s="18"/>
      <c r="B894" s="2"/>
      <c r="C894" s="3"/>
      <c r="D894" s="3"/>
      <c r="E894" s="3"/>
      <c r="F894" s="3"/>
    </row>
    <row r="895" ht="15.75" customHeight="1">
      <c r="A895" s="18"/>
      <c r="B895" s="2"/>
      <c r="C895" s="3"/>
      <c r="D895" s="3"/>
      <c r="E895" s="3"/>
      <c r="F895" s="3"/>
    </row>
    <row r="896" ht="15.75" customHeight="1">
      <c r="A896" s="18"/>
      <c r="B896" s="2"/>
      <c r="C896" s="3"/>
      <c r="D896" s="3"/>
      <c r="E896" s="3"/>
      <c r="F896" s="3"/>
    </row>
    <row r="897" ht="15.75" customHeight="1">
      <c r="A897" s="18"/>
      <c r="B897" s="2"/>
      <c r="C897" s="3"/>
      <c r="D897" s="3"/>
      <c r="E897" s="3"/>
      <c r="F897" s="3"/>
    </row>
    <row r="898" ht="15.75" customHeight="1">
      <c r="A898" s="18"/>
      <c r="B898" s="2"/>
      <c r="C898" s="3"/>
      <c r="D898" s="3"/>
      <c r="E898" s="3"/>
      <c r="F898" s="3"/>
    </row>
    <row r="899" ht="15.75" customHeight="1">
      <c r="A899" s="18"/>
      <c r="B899" s="2"/>
      <c r="C899" s="3"/>
      <c r="D899" s="3"/>
      <c r="E899" s="3"/>
      <c r="F899" s="3"/>
    </row>
    <row r="900" ht="15.75" customHeight="1">
      <c r="A900" s="18"/>
      <c r="B900" s="2"/>
      <c r="C900" s="3"/>
      <c r="D900" s="3"/>
      <c r="E900" s="3"/>
      <c r="F900" s="3"/>
    </row>
    <row r="901" ht="15.75" customHeight="1">
      <c r="A901" s="18"/>
      <c r="B901" s="2"/>
      <c r="C901" s="3"/>
      <c r="D901" s="3"/>
      <c r="E901" s="3"/>
      <c r="F901" s="3"/>
    </row>
    <row r="902" ht="15.75" customHeight="1">
      <c r="A902" s="18"/>
      <c r="B902" s="2"/>
      <c r="C902" s="3"/>
      <c r="D902" s="3"/>
      <c r="E902" s="3"/>
      <c r="F902" s="3"/>
    </row>
    <row r="903" ht="15.75" customHeight="1">
      <c r="A903" s="18"/>
      <c r="B903" s="2"/>
      <c r="C903" s="3"/>
      <c r="D903" s="3"/>
      <c r="E903" s="3"/>
      <c r="F903" s="3"/>
    </row>
    <row r="904" ht="15.75" customHeight="1">
      <c r="A904" s="18"/>
      <c r="B904" s="2"/>
      <c r="C904" s="3"/>
      <c r="D904" s="3"/>
      <c r="E904" s="3"/>
      <c r="F904" s="3"/>
    </row>
    <row r="905" ht="15.75" customHeight="1">
      <c r="A905" s="18"/>
      <c r="B905" s="2"/>
      <c r="C905" s="3"/>
      <c r="D905" s="3"/>
      <c r="E905" s="3"/>
      <c r="F905" s="3"/>
    </row>
    <row r="906" ht="15.75" customHeight="1">
      <c r="A906" s="18"/>
      <c r="B906" s="2"/>
      <c r="C906" s="3"/>
      <c r="D906" s="3"/>
      <c r="E906" s="3"/>
      <c r="F906" s="3"/>
    </row>
    <row r="907" ht="15.75" customHeight="1">
      <c r="A907" s="18"/>
      <c r="B907" s="2"/>
      <c r="C907" s="3"/>
      <c r="D907" s="3"/>
      <c r="E907" s="3"/>
      <c r="F907" s="3"/>
    </row>
    <row r="908" ht="15.75" customHeight="1">
      <c r="A908" s="18"/>
      <c r="B908" s="2"/>
      <c r="C908" s="3"/>
      <c r="D908" s="3"/>
      <c r="E908" s="3"/>
      <c r="F908" s="3"/>
    </row>
    <row r="909" ht="15.75" customHeight="1">
      <c r="A909" s="18"/>
      <c r="B909" s="2"/>
      <c r="C909" s="3"/>
      <c r="D909" s="3"/>
      <c r="E909" s="3"/>
      <c r="F909" s="3"/>
    </row>
    <row r="910" ht="15.75" customHeight="1">
      <c r="A910" s="18"/>
      <c r="B910" s="2"/>
      <c r="C910" s="3"/>
      <c r="D910" s="3"/>
      <c r="E910" s="3"/>
      <c r="F910" s="3"/>
    </row>
    <row r="911" ht="15.75" customHeight="1">
      <c r="A911" s="18"/>
      <c r="B911" s="2"/>
      <c r="C911" s="3"/>
      <c r="D911" s="3"/>
      <c r="E911" s="3"/>
      <c r="F911" s="3"/>
    </row>
    <row r="912" ht="15.75" customHeight="1">
      <c r="A912" s="18"/>
      <c r="B912" s="2"/>
      <c r="C912" s="3"/>
      <c r="D912" s="3"/>
      <c r="E912" s="3"/>
      <c r="F912" s="3"/>
    </row>
    <row r="913" ht="15.75" customHeight="1">
      <c r="A913" s="18"/>
      <c r="B913" s="2"/>
      <c r="C913" s="3"/>
      <c r="D913" s="3"/>
      <c r="E913" s="3"/>
      <c r="F913" s="3"/>
    </row>
    <row r="914" ht="15.75" customHeight="1">
      <c r="A914" s="18"/>
      <c r="B914" s="2"/>
      <c r="C914" s="3"/>
      <c r="D914" s="3"/>
      <c r="E914" s="3"/>
      <c r="F914" s="3"/>
    </row>
    <row r="915" ht="15.75" customHeight="1">
      <c r="A915" s="18"/>
      <c r="B915" s="2"/>
      <c r="C915" s="3"/>
      <c r="D915" s="3"/>
      <c r="E915" s="3"/>
      <c r="F915" s="3"/>
    </row>
    <row r="916" ht="15.75" customHeight="1">
      <c r="A916" s="18"/>
      <c r="B916" s="2"/>
      <c r="C916" s="3"/>
      <c r="D916" s="3"/>
      <c r="E916" s="3"/>
      <c r="F916" s="3"/>
    </row>
    <row r="917" ht="15.75" customHeight="1">
      <c r="A917" s="18"/>
      <c r="B917" s="2"/>
      <c r="C917" s="3"/>
      <c r="D917" s="3"/>
      <c r="E917" s="3"/>
      <c r="F917" s="3"/>
    </row>
    <row r="918" ht="15.75" customHeight="1">
      <c r="A918" s="18"/>
      <c r="B918" s="2"/>
      <c r="C918" s="3"/>
      <c r="D918" s="3"/>
      <c r="E918" s="3"/>
      <c r="F918" s="3"/>
    </row>
    <row r="919" ht="15.75" customHeight="1">
      <c r="A919" s="18"/>
      <c r="B919" s="2"/>
      <c r="C919" s="3"/>
      <c r="D919" s="3"/>
      <c r="E919" s="3"/>
      <c r="F919" s="3"/>
    </row>
    <row r="920" ht="15.75" customHeight="1">
      <c r="A920" s="18"/>
      <c r="B920" s="2"/>
      <c r="C920" s="3"/>
      <c r="D920" s="3"/>
      <c r="E920" s="3"/>
      <c r="F920" s="3"/>
    </row>
    <row r="921" ht="15.75" customHeight="1">
      <c r="A921" s="18"/>
      <c r="B921" s="2"/>
      <c r="C921" s="3"/>
      <c r="D921" s="3"/>
      <c r="E921" s="3"/>
      <c r="F921" s="3"/>
    </row>
    <row r="922" ht="15.75" customHeight="1">
      <c r="A922" s="18"/>
      <c r="B922" s="2"/>
      <c r="C922" s="3"/>
      <c r="D922" s="3"/>
      <c r="E922" s="3"/>
      <c r="F922" s="3"/>
    </row>
    <row r="923" ht="15.75" customHeight="1">
      <c r="A923" s="18"/>
      <c r="B923" s="2"/>
      <c r="C923" s="3"/>
      <c r="D923" s="3"/>
      <c r="E923" s="3"/>
      <c r="F923" s="3"/>
    </row>
    <row r="924" ht="15.75" customHeight="1">
      <c r="A924" s="18"/>
      <c r="B924" s="2"/>
      <c r="C924" s="3"/>
      <c r="D924" s="3"/>
      <c r="E924" s="3"/>
      <c r="F924" s="3"/>
    </row>
    <row r="925" ht="15.75" customHeight="1">
      <c r="A925" s="18"/>
      <c r="B925" s="2"/>
      <c r="C925" s="3"/>
      <c r="D925" s="3"/>
      <c r="E925" s="3"/>
      <c r="F925" s="3"/>
    </row>
    <row r="926" ht="15.75" customHeight="1">
      <c r="A926" s="18"/>
      <c r="B926" s="2"/>
      <c r="C926" s="3"/>
      <c r="D926" s="3"/>
      <c r="E926" s="3"/>
      <c r="F926" s="3"/>
    </row>
    <row r="927" ht="15.75" customHeight="1">
      <c r="A927" s="18"/>
      <c r="B927" s="2"/>
      <c r="C927" s="3"/>
      <c r="D927" s="3"/>
      <c r="E927" s="3"/>
      <c r="F927" s="3"/>
    </row>
    <row r="928" ht="15.75" customHeight="1">
      <c r="A928" s="18"/>
      <c r="B928" s="2"/>
      <c r="C928" s="3"/>
      <c r="D928" s="3"/>
      <c r="E928" s="3"/>
      <c r="F928" s="3"/>
    </row>
    <row r="929" ht="15.75" customHeight="1">
      <c r="A929" s="18"/>
      <c r="B929" s="2"/>
      <c r="C929" s="3"/>
      <c r="D929" s="3"/>
      <c r="E929" s="3"/>
      <c r="F929" s="3"/>
    </row>
    <row r="930" ht="15.75" customHeight="1">
      <c r="A930" s="18"/>
      <c r="B930" s="2"/>
      <c r="C930" s="3"/>
      <c r="D930" s="3"/>
      <c r="E930" s="3"/>
      <c r="F930" s="3"/>
    </row>
    <row r="931" ht="15.75" customHeight="1">
      <c r="A931" s="18"/>
      <c r="B931" s="2"/>
      <c r="C931" s="3"/>
      <c r="D931" s="3"/>
      <c r="E931" s="3"/>
      <c r="F931" s="3"/>
    </row>
    <row r="932" ht="15.75" customHeight="1">
      <c r="A932" s="18"/>
      <c r="B932" s="2"/>
      <c r="C932" s="3"/>
      <c r="D932" s="3"/>
      <c r="E932" s="3"/>
      <c r="F932" s="3"/>
    </row>
    <row r="933" ht="15.75" customHeight="1">
      <c r="A933" s="18"/>
      <c r="B933" s="2"/>
      <c r="C933" s="3"/>
      <c r="D933" s="3"/>
      <c r="E933" s="3"/>
      <c r="F933" s="3"/>
    </row>
    <row r="934" ht="15.75" customHeight="1">
      <c r="A934" s="18"/>
      <c r="B934" s="2"/>
      <c r="C934" s="3"/>
      <c r="D934" s="3"/>
      <c r="E934" s="3"/>
      <c r="F934" s="3"/>
    </row>
    <row r="935" ht="15.75" customHeight="1">
      <c r="A935" s="18"/>
      <c r="B935" s="2"/>
      <c r="C935" s="3"/>
      <c r="D935" s="3"/>
      <c r="E935" s="3"/>
      <c r="F935" s="3"/>
    </row>
    <row r="936" ht="15.75" customHeight="1">
      <c r="A936" s="18"/>
      <c r="B936" s="2"/>
      <c r="C936" s="3"/>
      <c r="D936" s="3"/>
      <c r="E936" s="3"/>
      <c r="F936" s="3"/>
    </row>
    <row r="937" ht="15.75" customHeight="1">
      <c r="A937" s="18"/>
      <c r="B937" s="2"/>
      <c r="C937" s="3"/>
      <c r="D937" s="3"/>
      <c r="E937" s="3"/>
      <c r="F937" s="3"/>
    </row>
    <row r="938" ht="15.75" customHeight="1">
      <c r="A938" s="18"/>
      <c r="B938" s="2"/>
      <c r="C938" s="3"/>
      <c r="D938" s="3"/>
      <c r="E938" s="3"/>
      <c r="F938" s="3"/>
    </row>
    <row r="939" ht="15.75" customHeight="1">
      <c r="A939" s="18"/>
      <c r="B939" s="2"/>
      <c r="C939" s="3"/>
      <c r="D939" s="3"/>
      <c r="E939" s="3"/>
      <c r="F939" s="3"/>
    </row>
    <row r="940" ht="15.75" customHeight="1">
      <c r="A940" s="18"/>
      <c r="B940" s="2"/>
      <c r="C940" s="3"/>
      <c r="D940" s="3"/>
      <c r="E940" s="3"/>
      <c r="F940" s="3"/>
    </row>
    <row r="941" ht="15.75" customHeight="1">
      <c r="A941" s="18"/>
      <c r="B941" s="2"/>
      <c r="C941" s="3"/>
      <c r="D941" s="3"/>
      <c r="E941" s="3"/>
      <c r="F941" s="3"/>
    </row>
    <row r="942" ht="15.75" customHeight="1">
      <c r="A942" s="18"/>
      <c r="B942" s="2"/>
      <c r="C942" s="3"/>
      <c r="D942" s="3"/>
      <c r="E942" s="3"/>
      <c r="F942" s="3"/>
    </row>
    <row r="943" ht="15.75" customHeight="1">
      <c r="A943" s="18"/>
      <c r="B943" s="2"/>
      <c r="C943" s="3"/>
      <c r="D943" s="3"/>
      <c r="E943" s="3"/>
      <c r="F943" s="3"/>
    </row>
    <row r="944" ht="15.75" customHeight="1">
      <c r="A944" s="18"/>
      <c r="B944" s="2"/>
      <c r="C944" s="3"/>
      <c r="D944" s="3"/>
      <c r="E944" s="3"/>
      <c r="F944" s="3"/>
    </row>
    <row r="945" ht="15.75" customHeight="1">
      <c r="A945" s="18"/>
      <c r="B945" s="2"/>
      <c r="C945" s="3"/>
      <c r="D945" s="3"/>
      <c r="E945" s="3"/>
      <c r="F945" s="3"/>
    </row>
    <row r="946" ht="15.75" customHeight="1">
      <c r="A946" s="18"/>
      <c r="B946" s="2"/>
      <c r="C946" s="3"/>
      <c r="D946" s="3"/>
      <c r="E946" s="3"/>
      <c r="F946" s="3"/>
    </row>
    <row r="947" ht="15.75" customHeight="1">
      <c r="A947" s="18"/>
      <c r="B947" s="2"/>
      <c r="C947" s="3"/>
      <c r="D947" s="3"/>
      <c r="E947" s="3"/>
      <c r="F947" s="3"/>
    </row>
    <row r="948" ht="15.75" customHeight="1">
      <c r="A948" s="18"/>
      <c r="B948" s="2"/>
      <c r="C948" s="3"/>
      <c r="D948" s="3"/>
      <c r="E948" s="3"/>
      <c r="F948" s="3"/>
    </row>
    <row r="949" ht="15.75" customHeight="1">
      <c r="A949" s="18"/>
      <c r="B949" s="2"/>
      <c r="C949" s="3"/>
      <c r="D949" s="3"/>
      <c r="E949" s="3"/>
      <c r="F949" s="3"/>
    </row>
    <row r="950" ht="15.75" customHeight="1">
      <c r="A950" s="18"/>
      <c r="B950" s="2"/>
      <c r="C950" s="3"/>
      <c r="D950" s="3"/>
      <c r="E950" s="3"/>
      <c r="F950" s="3"/>
    </row>
    <row r="951" ht="15.75" customHeight="1">
      <c r="A951" s="18"/>
      <c r="B951" s="2"/>
      <c r="C951" s="3"/>
      <c r="D951" s="3"/>
      <c r="E951" s="3"/>
      <c r="F951" s="3"/>
    </row>
    <row r="952" ht="15.75" customHeight="1">
      <c r="A952" s="18"/>
      <c r="B952" s="2"/>
      <c r="C952" s="3"/>
      <c r="D952" s="3"/>
      <c r="E952" s="3"/>
      <c r="F952" s="3"/>
    </row>
    <row r="953" ht="15.75" customHeight="1">
      <c r="A953" s="18"/>
      <c r="B953" s="2"/>
      <c r="C953" s="3"/>
      <c r="D953" s="3"/>
      <c r="E953" s="3"/>
      <c r="F953" s="3"/>
    </row>
    <row r="954" ht="15.75" customHeight="1">
      <c r="A954" s="18"/>
      <c r="B954" s="2"/>
      <c r="C954" s="3"/>
      <c r="D954" s="3"/>
      <c r="E954" s="3"/>
      <c r="F954" s="3"/>
    </row>
    <row r="955" ht="15.75" customHeight="1">
      <c r="A955" s="18"/>
      <c r="B955" s="2"/>
      <c r="C955" s="3"/>
      <c r="D955" s="3"/>
      <c r="E955" s="3"/>
      <c r="F955" s="3"/>
    </row>
    <row r="956" ht="15.75" customHeight="1">
      <c r="A956" s="18"/>
      <c r="B956" s="2"/>
      <c r="C956" s="3"/>
      <c r="D956" s="3"/>
      <c r="E956" s="3"/>
      <c r="F956" s="3"/>
    </row>
    <row r="957" ht="15.75" customHeight="1">
      <c r="A957" s="18"/>
      <c r="B957" s="2"/>
      <c r="C957" s="3"/>
      <c r="D957" s="3"/>
      <c r="E957" s="3"/>
      <c r="F957" s="3"/>
    </row>
    <row r="958" ht="15.75" customHeight="1">
      <c r="A958" s="18"/>
      <c r="B958" s="2"/>
      <c r="C958" s="3"/>
      <c r="D958" s="3"/>
      <c r="E958" s="3"/>
      <c r="F958" s="3"/>
    </row>
    <row r="959" ht="15.75" customHeight="1">
      <c r="A959" s="18"/>
      <c r="B959" s="2"/>
      <c r="C959" s="3"/>
      <c r="D959" s="3"/>
      <c r="E959" s="3"/>
      <c r="F959" s="3"/>
    </row>
    <row r="960" ht="15.75" customHeight="1">
      <c r="A960" s="18"/>
      <c r="B960" s="2"/>
      <c r="C960" s="3"/>
      <c r="D960" s="3"/>
      <c r="E960" s="3"/>
      <c r="F960" s="3"/>
    </row>
    <row r="961" ht="15.75" customHeight="1">
      <c r="A961" s="18"/>
      <c r="B961" s="2"/>
      <c r="C961" s="3"/>
      <c r="D961" s="3"/>
      <c r="E961" s="3"/>
      <c r="F961" s="3"/>
    </row>
    <row r="962" ht="15.75" customHeight="1">
      <c r="A962" s="18"/>
      <c r="B962" s="2"/>
      <c r="C962" s="3"/>
      <c r="D962" s="3"/>
      <c r="E962" s="3"/>
      <c r="F962" s="3"/>
    </row>
    <row r="963" ht="15.75" customHeight="1">
      <c r="A963" s="18"/>
      <c r="B963" s="2"/>
      <c r="C963" s="3"/>
      <c r="D963" s="3"/>
      <c r="E963" s="3"/>
      <c r="F963" s="3"/>
    </row>
    <row r="964" ht="15.75" customHeight="1">
      <c r="A964" s="18"/>
      <c r="B964" s="2"/>
      <c r="C964" s="3"/>
      <c r="D964" s="3"/>
      <c r="E964" s="3"/>
      <c r="F964" s="3"/>
    </row>
    <row r="965" ht="15.75" customHeight="1">
      <c r="A965" s="18"/>
      <c r="B965" s="2"/>
      <c r="C965" s="3"/>
      <c r="D965" s="3"/>
      <c r="E965" s="3"/>
      <c r="F965" s="3"/>
    </row>
    <row r="966" ht="15.75" customHeight="1">
      <c r="A966" s="18"/>
      <c r="B966" s="2"/>
      <c r="C966" s="3"/>
      <c r="D966" s="3"/>
      <c r="E966" s="3"/>
      <c r="F966" s="3"/>
    </row>
    <row r="967" ht="15.75" customHeight="1">
      <c r="A967" s="18"/>
      <c r="B967" s="2"/>
      <c r="C967" s="3"/>
      <c r="D967" s="3"/>
      <c r="E967" s="3"/>
      <c r="F967" s="3"/>
    </row>
    <row r="968" ht="15.75" customHeight="1">
      <c r="A968" s="18"/>
      <c r="B968" s="2"/>
      <c r="C968" s="3"/>
      <c r="D968" s="3"/>
      <c r="E968" s="3"/>
      <c r="F968" s="3"/>
    </row>
    <row r="969" ht="15.75" customHeight="1">
      <c r="A969" s="18"/>
      <c r="B969" s="2"/>
      <c r="C969" s="3"/>
      <c r="D969" s="3"/>
      <c r="E969" s="3"/>
      <c r="F969" s="3"/>
    </row>
    <row r="970" ht="15.75" customHeight="1">
      <c r="A970" s="18"/>
      <c r="B970" s="2"/>
      <c r="C970" s="3"/>
      <c r="D970" s="3"/>
      <c r="E970" s="3"/>
      <c r="F970" s="3"/>
    </row>
    <row r="971" ht="15.75" customHeight="1">
      <c r="A971" s="18"/>
      <c r="B971" s="2"/>
      <c r="C971" s="3"/>
      <c r="D971" s="3"/>
      <c r="E971" s="3"/>
      <c r="F971" s="3"/>
    </row>
    <row r="972" ht="15.75" customHeight="1">
      <c r="A972" s="18"/>
      <c r="B972" s="2"/>
      <c r="C972" s="3"/>
      <c r="D972" s="3"/>
      <c r="E972" s="3"/>
      <c r="F972" s="3"/>
    </row>
    <row r="973" ht="15.75" customHeight="1">
      <c r="A973" s="18"/>
      <c r="B973" s="2"/>
      <c r="C973" s="3"/>
      <c r="D973" s="3"/>
      <c r="E973" s="3"/>
      <c r="F973" s="3"/>
    </row>
    <row r="974" ht="15.75" customHeight="1">
      <c r="A974" s="18"/>
      <c r="B974" s="2"/>
      <c r="C974" s="3"/>
      <c r="D974" s="3"/>
      <c r="E974" s="3"/>
      <c r="F974" s="3"/>
    </row>
    <row r="975" ht="15.75" customHeight="1">
      <c r="A975" s="18"/>
      <c r="B975" s="2"/>
      <c r="C975" s="3"/>
      <c r="D975" s="3"/>
      <c r="E975" s="3"/>
      <c r="F975" s="3"/>
    </row>
    <row r="976" ht="15.75" customHeight="1">
      <c r="A976" s="18"/>
      <c r="B976" s="2"/>
      <c r="C976" s="3"/>
      <c r="D976" s="3"/>
      <c r="E976" s="3"/>
      <c r="F976" s="3"/>
    </row>
    <row r="977" ht="15.75" customHeight="1">
      <c r="A977" s="18"/>
      <c r="B977" s="2"/>
      <c r="C977" s="3"/>
      <c r="D977" s="3"/>
      <c r="E977" s="3"/>
      <c r="F977" s="3"/>
    </row>
    <row r="978" ht="15.75" customHeight="1">
      <c r="A978" s="18"/>
      <c r="B978" s="2"/>
      <c r="C978" s="3"/>
      <c r="D978" s="3"/>
      <c r="E978" s="3"/>
      <c r="F978" s="3"/>
    </row>
    <row r="979" ht="15.75" customHeight="1">
      <c r="A979" s="18"/>
      <c r="B979" s="2"/>
      <c r="C979" s="3"/>
      <c r="D979" s="3"/>
      <c r="E979" s="3"/>
      <c r="F979" s="3"/>
    </row>
    <row r="980" ht="15.75" customHeight="1">
      <c r="A980" s="18"/>
      <c r="B980" s="2"/>
      <c r="C980" s="3"/>
      <c r="D980" s="3"/>
      <c r="E980" s="3"/>
      <c r="F980" s="3"/>
    </row>
    <row r="981" ht="15.75" customHeight="1">
      <c r="A981" s="18"/>
      <c r="B981" s="2"/>
      <c r="C981" s="3"/>
      <c r="D981" s="3"/>
      <c r="E981" s="3"/>
      <c r="F981" s="3"/>
    </row>
    <row r="982" ht="15.75" customHeight="1">
      <c r="A982" s="18"/>
      <c r="B982" s="2"/>
      <c r="C982" s="3"/>
      <c r="D982" s="3"/>
      <c r="E982" s="3"/>
      <c r="F982" s="3"/>
    </row>
    <row r="983" ht="15.75" customHeight="1">
      <c r="A983" s="18"/>
      <c r="B983" s="2"/>
      <c r="C983" s="3"/>
      <c r="D983" s="3"/>
      <c r="E983" s="3"/>
      <c r="F983" s="3"/>
    </row>
    <row r="984" ht="15.75" customHeight="1">
      <c r="A984" s="18"/>
      <c r="B984" s="2"/>
      <c r="C984" s="3"/>
      <c r="D984" s="3"/>
      <c r="E984" s="3"/>
      <c r="F984" s="3"/>
    </row>
    <row r="985" ht="15.75" customHeight="1">
      <c r="A985" s="18"/>
      <c r="B985" s="2"/>
      <c r="C985" s="3"/>
      <c r="D985" s="3"/>
      <c r="E985" s="3"/>
      <c r="F985" s="3"/>
    </row>
    <row r="986" ht="15.75" customHeight="1">
      <c r="A986" s="18"/>
      <c r="B986" s="2"/>
      <c r="C986" s="3"/>
      <c r="D986" s="3"/>
      <c r="E986" s="3"/>
      <c r="F986" s="3"/>
    </row>
    <row r="987" ht="15.75" customHeight="1">
      <c r="A987" s="18"/>
      <c r="B987" s="2"/>
      <c r="C987" s="3"/>
      <c r="D987" s="3"/>
      <c r="E987" s="3"/>
      <c r="F987" s="3"/>
    </row>
    <row r="988" ht="15.75" customHeight="1">
      <c r="A988" s="18"/>
      <c r="B988" s="2"/>
      <c r="C988" s="3"/>
      <c r="D988" s="3"/>
      <c r="E988" s="3"/>
      <c r="F988" s="3"/>
    </row>
    <row r="989" ht="15.75" customHeight="1">
      <c r="A989" s="18"/>
      <c r="B989" s="2"/>
      <c r="C989" s="3"/>
      <c r="D989" s="3"/>
      <c r="E989" s="3"/>
      <c r="F989" s="3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7.63"/>
    <col customWidth="1" min="2" max="2" width="42.13"/>
    <col customWidth="1" min="3" max="3" width="8.63"/>
  </cols>
  <sheetData>
    <row r="1">
      <c r="B1" s="19" t="s">
        <v>16</v>
      </c>
      <c r="C1" s="4"/>
      <c r="D1" s="4"/>
    </row>
    <row r="2">
      <c r="A2" s="1"/>
      <c r="C2" s="4"/>
      <c r="D2" s="4"/>
    </row>
    <row r="3" ht="26.25" customHeight="1">
      <c r="A3" s="1"/>
      <c r="B3" s="20" t="s">
        <v>17</v>
      </c>
      <c r="C3" s="4"/>
      <c r="D3" s="4"/>
    </row>
    <row r="4" ht="26.25" customHeight="1">
      <c r="A4" s="1"/>
      <c r="B4" s="21" t="s">
        <v>16</v>
      </c>
      <c r="C4" s="4"/>
      <c r="D4" s="4"/>
    </row>
    <row r="5" ht="26.25" customHeight="1">
      <c r="A5" s="1"/>
      <c r="B5" s="22" t="s">
        <v>18</v>
      </c>
      <c r="C5" s="23"/>
      <c r="D5" s="4"/>
    </row>
    <row r="6" ht="26.25" customHeight="1">
      <c r="A6" s="1"/>
      <c r="B6" s="22" t="s">
        <v>19</v>
      </c>
      <c r="C6" s="4"/>
      <c r="D6" s="4"/>
    </row>
    <row r="7" ht="26.25" customHeight="1">
      <c r="A7" s="1"/>
      <c r="B7" s="22" t="s">
        <v>20</v>
      </c>
      <c r="C7" s="4"/>
      <c r="D7" s="4"/>
    </row>
    <row r="8" ht="26.25" customHeight="1">
      <c r="B8" s="22" t="s">
        <v>21</v>
      </c>
    </row>
    <row r="9" ht="26.25" customHeight="1">
      <c r="B9" s="22" t="s">
        <v>22</v>
      </c>
    </row>
    <row r="10" ht="26.25" customHeight="1">
      <c r="B10" s="22" t="s">
        <v>23</v>
      </c>
    </row>
    <row r="11" ht="26.25" customHeight="1">
      <c r="B11" s="22" t="s">
        <v>24</v>
      </c>
    </row>
    <row r="12" ht="26.25" customHeight="1">
      <c r="B12" s="22" t="s">
        <v>25</v>
      </c>
    </row>
    <row r="13" ht="26.25" customHeight="1">
      <c r="B13" s="22" t="s">
        <v>26</v>
      </c>
    </row>
    <row r="14" ht="26.25" customHeight="1">
      <c r="B14" s="22" t="s">
        <v>27</v>
      </c>
    </row>
    <row r="15" ht="26.25" customHeight="1">
      <c r="B15" s="22" t="s">
        <v>28</v>
      </c>
    </row>
  </sheetData>
  <hyperlinks>
    <hyperlink display="1. Executive Dashboard" location="'1. Executive Dashboard'!A1" ref="B5"/>
    <hyperlink display="2. Financial Summary" location="'2. Financial Summary'!A1" ref="B6"/>
    <hyperlink display="3. Assumptions and Drivers" location="'3. Assumptions and Drivers'!A1" ref="B7"/>
    <hyperlink display="4. Revenue and Volume" location="'4. Revenue and Volume '!A1" ref="B8"/>
    <hyperlink display="5. Payroll and Headcount" location="'5. Payroll and Headcount'!A1" ref="B9"/>
    <hyperlink display="6. OpEx and CapEx" location="'6. OpEx and CapEx'!A1" ref="B10"/>
    <hyperlink display="7. Debt and PP&amp;E" location="'7. Debt and PP&amp;E'!A1" ref="B11"/>
    <hyperlink display="8. Financial Statements" location="'8. Financial Statements'!A1" ref="B12"/>
    <hyperlink display="9. Multi-Year Projection" location="'9. Multi-Year Projection'!A1" ref="B13"/>
    <hyperlink display="10. Valuation and DCF Dashboard" location="'10. Valuation and DCF Dashboard'!A1" ref="B14"/>
    <hyperlink display="11. Revenue Testing" location="'11. Revenue Calculators'!A1" ref="B15"/>
  </hyperlin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385C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1.38"/>
    <col customWidth="1" min="2" max="3" width="12.13"/>
    <col customWidth="1" min="4" max="4" width="10.63"/>
    <col customWidth="1" min="5" max="6" width="12.63"/>
    <col customWidth="1" min="7" max="7" width="14.88"/>
    <col customWidth="1" min="8" max="8" width="16.0"/>
    <col customWidth="1" min="14" max="14" width="13.75"/>
  </cols>
  <sheetData>
    <row r="1">
      <c r="A1" s="24"/>
      <c r="B1" s="3"/>
      <c r="C1" s="3"/>
    </row>
    <row r="2">
      <c r="A2" s="24"/>
      <c r="B2" s="3"/>
      <c r="C2" s="3"/>
      <c r="F2" s="25" t="s">
        <v>29</v>
      </c>
    </row>
    <row r="3">
      <c r="A3" s="24"/>
    </row>
    <row r="4">
      <c r="A4" s="26"/>
    </row>
    <row r="7"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</row>
    <row r="8">
      <c r="B8" s="28"/>
      <c r="C8" s="29">
        <f>'2. Financial Summary'!H4/'2. Financial Summary'!H3</f>
        <v>1.81540636</v>
      </c>
      <c r="D8" s="30"/>
      <c r="E8" s="31"/>
      <c r="F8" s="32">
        <f>'2. Financial Summary'!H6</f>
        <v>7102.7255</v>
      </c>
      <c r="G8" s="30"/>
      <c r="H8" s="31"/>
      <c r="I8" s="33">
        <f>'2. Financial Summary'!H15</f>
        <v>1944492.923</v>
      </c>
      <c r="J8" s="30"/>
      <c r="K8" s="31"/>
      <c r="L8" s="29">
        <f>'2. Financial Summary'!H15/'2. Financial Summary'!F15</f>
        <v>1.571942541</v>
      </c>
      <c r="M8" s="30"/>
      <c r="N8" s="31"/>
      <c r="O8" s="33">
        <f>'2. Financial Summary'!N40</f>
        <v>421764.7555</v>
      </c>
      <c r="P8" s="30"/>
      <c r="Q8" s="31"/>
      <c r="R8" s="29">
        <f>'2. Financial Summary'!H20/'2. Financial Summary'!F20</f>
        <v>1.715242515</v>
      </c>
      <c r="S8" s="30"/>
      <c r="T8" s="31"/>
      <c r="U8" s="34">
        <f>'2. Financial Summary'!H19</f>
        <v>0.2026461662</v>
      </c>
      <c r="V8" s="30"/>
      <c r="W8" s="27"/>
    </row>
    <row r="9">
      <c r="B9" s="28"/>
      <c r="C9" s="35"/>
      <c r="D9" s="36"/>
      <c r="E9" s="31"/>
      <c r="F9" s="35"/>
      <c r="G9" s="36"/>
      <c r="H9" s="31"/>
      <c r="I9" s="35"/>
      <c r="J9" s="36"/>
      <c r="K9" s="31"/>
      <c r="L9" s="35"/>
      <c r="M9" s="36"/>
      <c r="N9" s="31"/>
      <c r="O9" s="35"/>
      <c r="P9" s="36"/>
      <c r="Q9" s="31"/>
      <c r="R9" s="35"/>
      <c r="S9" s="36"/>
      <c r="T9" s="31"/>
      <c r="U9" s="35"/>
      <c r="V9" s="36"/>
      <c r="W9" s="27"/>
    </row>
    <row r="10">
      <c r="B10" s="28"/>
      <c r="C10" s="35"/>
      <c r="D10" s="36"/>
      <c r="E10" s="31"/>
      <c r="F10" s="35"/>
      <c r="G10" s="36"/>
      <c r="H10" s="31"/>
      <c r="I10" s="35"/>
      <c r="J10" s="36"/>
      <c r="K10" s="31"/>
      <c r="L10" s="35"/>
      <c r="M10" s="36"/>
      <c r="N10" s="31"/>
      <c r="O10" s="35"/>
      <c r="P10" s="36"/>
      <c r="Q10" s="31"/>
      <c r="R10" s="35"/>
      <c r="S10" s="36"/>
      <c r="T10" s="31"/>
      <c r="U10" s="35"/>
      <c r="V10" s="36"/>
      <c r="W10" s="27"/>
    </row>
    <row r="11">
      <c r="B11" s="28"/>
      <c r="C11" s="35"/>
      <c r="D11" s="36"/>
      <c r="E11" s="31"/>
      <c r="F11" s="35"/>
      <c r="G11" s="36"/>
      <c r="H11" s="31"/>
      <c r="I11" s="35"/>
      <c r="J11" s="36"/>
      <c r="K11" s="31"/>
      <c r="L11" s="35"/>
      <c r="M11" s="36"/>
      <c r="N11" s="31"/>
      <c r="O11" s="35"/>
      <c r="P11" s="36"/>
      <c r="Q11" s="31"/>
      <c r="R11" s="35"/>
      <c r="S11" s="36"/>
      <c r="T11" s="31"/>
      <c r="U11" s="35"/>
      <c r="V11" s="36"/>
      <c r="W11" s="27"/>
    </row>
    <row r="12">
      <c r="B12" s="37"/>
      <c r="C12" s="38" t="s">
        <v>30</v>
      </c>
      <c r="D12" s="39"/>
      <c r="E12" s="40"/>
      <c r="F12" s="41" t="s">
        <v>31</v>
      </c>
      <c r="G12" s="39"/>
      <c r="H12" s="40"/>
      <c r="I12" s="41" t="s">
        <v>32</v>
      </c>
      <c r="J12" s="39"/>
      <c r="K12" s="40"/>
      <c r="L12" s="41" t="s">
        <v>33</v>
      </c>
      <c r="M12" s="39"/>
      <c r="N12" s="40"/>
      <c r="O12" s="41" t="s">
        <v>34</v>
      </c>
      <c r="P12" s="39"/>
      <c r="Q12" s="40"/>
      <c r="R12" s="41" t="s">
        <v>35</v>
      </c>
      <c r="S12" s="39"/>
      <c r="T12" s="40"/>
      <c r="U12" s="41" t="s">
        <v>36</v>
      </c>
      <c r="V12" s="39"/>
      <c r="W12" s="27"/>
    </row>
    <row r="13">
      <c r="B13" s="42"/>
      <c r="C13" s="42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</row>
    <row r="14">
      <c r="B14" s="3"/>
      <c r="C14" s="3"/>
    </row>
    <row r="15">
      <c r="B15" s="3"/>
      <c r="C15" s="3"/>
      <c r="H15" s="43" t="s">
        <v>37</v>
      </c>
    </row>
    <row r="16">
      <c r="B16" s="3"/>
      <c r="C16" s="3"/>
    </row>
    <row r="17">
      <c r="B17" s="3"/>
      <c r="C17" s="3"/>
    </row>
    <row r="18">
      <c r="B18" s="3"/>
      <c r="C18" s="3"/>
      <c r="T18" s="27"/>
    </row>
    <row r="19">
      <c r="B19" s="3"/>
      <c r="C19" s="3"/>
    </row>
    <row r="20">
      <c r="B20" s="3"/>
      <c r="C20" s="3"/>
    </row>
    <row r="21">
      <c r="B21" s="3"/>
      <c r="C21" s="3"/>
    </row>
    <row r="22">
      <c r="B22" s="3"/>
      <c r="C22" s="3"/>
    </row>
    <row r="23">
      <c r="B23" s="3"/>
      <c r="C23" s="3"/>
      <c r="N23" s="44"/>
      <c r="O23" s="44"/>
      <c r="P23" s="44"/>
      <c r="Q23" s="44"/>
      <c r="R23" s="45"/>
      <c r="S23" s="46"/>
      <c r="T23" s="47"/>
      <c r="U23" s="47"/>
      <c r="V23" s="47"/>
      <c r="W23" s="47"/>
      <c r="X23" s="47"/>
    </row>
    <row r="24">
      <c r="B24" s="3"/>
      <c r="C24" s="3"/>
    </row>
    <row r="25">
      <c r="B25" s="3"/>
      <c r="C25" s="3"/>
    </row>
    <row r="26">
      <c r="B26" s="3"/>
      <c r="C26" s="3"/>
    </row>
    <row r="27">
      <c r="B27" s="3"/>
      <c r="C27" s="3"/>
    </row>
    <row r="28">
      <c r="B28" s="3"/>
      <c r="C28" s="3"/>
    </row>
    <row r="29">
      <c r="B29" s="3"/>
      <c r="C29" s="3"/>
    </row>
    <row r="30" ht="15.75" customHeight="1">
      <c r="B30" s="3"/>
      <c r="C30" s="3"/>
    </row>
    <row r="31" ht="15.75" customHeight="1">
      <c r="B31" s="3"/>
      <c r="C31" s="3"/>
      <c r="S31" s="48"/>
      <c r="T31" s="49"/>
      <c r="U31" s="47"/>
      <c r="V31" s="47"/>
      <c r="W31" s="47"/>
      <c r="X31" s="47"/>
      <c r="Y31" s="47"/>
      <c r="Z31" s="47"/>
    </row>
    <row r="32" ht="15.75" customHeight="1">
      <c r="B32" s="3"/>
      <c r="C32" s="3"/>
    </row>
    <row r="33" ht="15.75" customHeight="1">
      <c r="B33" s="3"/>
      <c r="C33" s="3"/>
    </row>
    <row r="34" ht="15.75" customHeight="1">
      <c r="B34" s="3"/>
      <c r="C34" s="3"/>
    </row>
    <row r="35" ht="15.75" customHeight="1">
      <c r="B35" s="3"/>
      <c r="C35" s="3"/>
    </row>
    <row r="36" ht="15.75" customHeight="1">
      <c r="B36" s="3"/>
      <c r="C36" s="3"/>
    </row>
    <row r="37" ht="15.75" customHeight="1">
      <c r="B37" s="3"/>
      <c r="C37" s="3"/>
    </row>
    <row r="38" ht="15.75" customHeight="1">
      <c r="B38" s="3"/>
      <c r="C38" s="3"/>
    </row>
    <row r="39" ht="15.75" customHeight="1">
      <c r="B39" s="3"/>
      <c r="C39" s="3"/>
    </row>
    <row r="40" ht="15.75" customHeight="1">
      <c r="B40" s="3"/>
      <c r="C40" s="3"/>
    </row>
    <row r="41" ht="15.75" customHeight="1">
      <c r="B41" s="3"/>
      <c r="C41" s="3"/>
    </row>
    <row r="42" ht="15.75" customHeight="1">
      <c r="B42" s="3"/>
      <c r="C42" s="3"/>
      <c r="O42" s="50"/>
    </row>
    <row r="43" ht="15.75" customHeight="1">
      <c r="B43" s="3"/>
      <c r="C43" s="3"/>
      <c r="O43" s="50"/>
    </row>
    <row r="44" ht="15.75" customHeight="1">
      <c r="B44" s="3"/>
      <c r="C44" s="3"/>
      <c r="O44" s="50"/>
    </row>
    <row r="45" ht="15.75" customHeight="1">
      <c r="B45" s="3"/>
      <c r="C45" s="3"/>
      <c r="O45" s="50"/>
    </row>
    <row r="46" ht="15.75" customHeight="1">
      <c r="B46" s="3"/>
      <c r="C46" s="3"/>
      <c r="O46" s="47"/>
    </row>
    <row r="47" ht="15.75" customHeight="1">
      <c r="B47" s="3"/>
      <c r="C47" s="3"/>
    </row>
    <row r="48" ht="15.75" customHeight="1">
      <c r="B48" s="3"/>
      <c r="C48" s="3"/>
    </row>
    <row r="49" ht="15.75" customHeight="1">
      <c r="B49" s="3"/>
      <c r="C49" s="3"/>
    </row>
    <row r="50" ht="15.75" customHeight="1">
      <c r="B50" s="3"/>
      <c r="C50" s="3"/>
    </row>
    <row r="51">
      <c r="B51" s="3"/>
      <c r="C51" s="3"/>
      <c r="E51" s="51" t="s">
        <v>38</v>
      </c>
      <c r="M51" s="51" t="s">
        <v>39</v>
      </c>
    </row>
    <row r="52" ht="15.75" customHeight="1">
      <c r="B52" s="3"/>
      <c r="C52" s="3"/>
    </row>
    <row r="53" ht="15.75" customHeight="1">
      <c r="B53" s="3"/>
      <c r="C53" s="3"/>
    </row>
    <row r="54" ht="15.75" customHeight="1">
      <c r="B54" s="3"/>
      <c r="C54" s="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>
      <c r="E76" s="51" t="s">
        <v>40</v>
      </c>
      <c r="M76" s="51" t="s">
        <v>41</v>
      </c>
    </row>
    <row r="77" ht="15.75" customHeight="1"/>
    <row r="78" ht="15.75" customHeight="1"/>
    <row r="79" ht="15.75" customHeight="1"/>
    <row r="80" ht="15.75" customHeight="1"/>
    <row r="81" ht="15.75" customHeight="1">
      <c r="D81" s="3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>
      <c r="B87" s="3"/>
      <c r="C87" s="3"/>
    </row>
    <row r="88" ht="15.75" customHeight="1">
      <c r="B88" s="3"/>
      <c r="C88" s="3"/>
    </row>
    <row r="89" ht="15.75" customHeight="1">
      <c r="B89" s="3"/>
      <c r="C89" s="3"/>
    </row>
    <row r="90" ht="15.75" customHeight="1">
      <c r="B90" s="3"/>
      <c r="C90" s="3"/>
    </row>
    <row r="91" ht="15.75" customHeight="1">
      <c r="B91" s="3"/>
      <c r="C91" s="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>
      <c r="B102" s="52"/>
      <c r="C102" s="53" t="s">
        <v>42</v>
      </c>
      <c r="E102" s="54"/>
      <c r="F102" s="55" t="s">
        <v>43</v>
      </c>
      <c r="I102" s="54"/>
      <c r="J102" s="55" t="s">
        <v>44</v>
      </c>
      <c r="M102" s="54"/>
      <c r="N102" s="56"/>
      <c r="O102" s="53" t="s">
        <v>45</v>
      </c>
      <c r="P102" s="57"/>
      <c r="Q102" s="54"/>
      <c r="R102" s="53" t="s">
        <v>46</v>
      </c>
    </row>
    <row r="103" ht="15.75" customHeight="1">
      <c r="B103" s="58"/>
      <c r="C103" s="58" t="s">
        <v>47</v>
      </c>
      <c r="D103" s="58" t="s">
        <v>48</v>
      </c>
      <c r="E103" s="54"/>
      <c r="F103" s="54"/>
      <c r="G103" s="59" t="s">
        <v>49</v>
      </c>
      <c r="H103" s="60" t="s">
        <v>50</v>
      </c>
      <c r="I103" s="54"/>
      <c r="J103" s="54"/>
      <c r="K103" s="59" t="s">
        <v>51</v>
      </c>
      <c r="L103" s="59" t="s">
        <v>52</v>
      </c>
      <c r="M103" s="54"/>
      <c r="N103" s="54"/>
      <c r="O103" s="59" t="s">
        <v>53</v>
      </c>
      <c r="P103" s="59" t="s">
        <v>54</v>
      </c>
      <c r="Q103" s="54"/>
      <c r="R103" s="54"/>
      <c r="S103" s="59" t="s">
        <v>55</v>
      </c>
      <c r="T103" s="59" t="s">
        <v>56</v>
      </c>
    </row>
    <row r="104" ht="15.75" customHeight="1">
      <c r="B104" s="58"/>
      <c r="C104" s="59" t="s">
        <v>57</v>
      </c>
      <c r="D104" s="61">
        <f t="array" ref="D104">INDEX(('2. Financial Summary'!B$40:$M$40), 1, ROW(A1))</f>
        <v>6479.433876</v>
      </c>
      <c r="E104" s="54"/>
      <c r="F104" s="59" t="s">
        <v>58</v>
      </c>
      <c r="G104" s="61">
        <f t="array" ref="G104">INDEX(('2. Financial Summary'!C$14:$O$14), 1, ROW(A1))</f>
        <v>325000</v>
      </c>
      <c r="H104" s="62">
        <v>0.0</v>
      </c>
      <c r="I104" s="54"/>
      <c r="J104" s="59" t="s">
        <v>58</v>
      </c>
      <c r="K104" s="63">
        <f t="array" ref="K104">INDEX(('2. Financial Summary'!C$20:$O$20), 1, ROW(A1))</f>
        <v>28768</v>
      </c>
      <c r="L104" s="64">
        <v>0.0</v>
      </c>
      <c r="M104" s="54"/>
      <c r="N104" s="59" t="s">
        <v>58</v>
      </c>
      <c r="O104" s="63">
        <f t="array" ref="O104">INDEX('2. Financial Summary'!$C$18:$O$18, 1, ROW(A1))
</f>
        <v>74000</v>
      </c>
      <c r="P104" s="65">
        <f t="array" ref="P104">INDEX('2. Financial Summary'!$C$19:$O$19, 1, ROW(A1))
</f>
        <v>0.2596491228</v>
      </c>
      <c r="Q104" s="54"/>
      <c r="R104" s="59" t="s">
        <v>58</v>
      </c>
      <c r="S104" s="66">
        <f t="array" ref="S104">INDEX('2. Financial Summary'!$C$4:$O$4, 1, ROW(A1))
</f>
        <v>50</v>
      </c>
      <c r="T104" s="66">
        <f t="array" ref="T104">INDEX('2. Financial Summary'!$C$17:$O$17, 1, ROW(A1))
</f>
        <v>211000</v>
      </c>
    </row>
    <row r="105" ht="15.75" customHeight="1">
      <c r="B105" s="58"/>
      <c r="C105" s="59" t="s">
        <v>59</v>
      </c>
      <c r="D105" s="61">
        <f t="array" ref="D105">INDEX(('2. Financial Summary'!B$40:$M$40), 1, ROW(A2))</f>
        <v>-22906.70037</v>
      </c>
      <c r="E105" s="54"/>
      <c r="F105" s="59" t="s">
        <v>60</v>
      </c>
      <c r="G105" s="61">
        <f t="array" ref="G105">INDEX(('2. Financial Summary'!C$14:$O$14), 1, ROW(A2))</f>
        <v>676000</v>
      </c>
      <c r="H105" s="61">
        <f t="shared" ref="H105:H114" si="1">G105-G104</f>
        <v>351000</v>
      </c>
      <c r="I105" s="54"/>
      <c r="J105" s="59" t="s">
        <v>60</v>
      </c>
      <c r="K105" s="63">
        <f t="array" ref="K105">INDEX(('2. Financial Summary'!C$20:$O$20), 1, ROW(A2))</f>
        <v>37856</v>
      </c>
      <c r="L105" s="63">
        <f t="shared" ref="L105:L114" si="2">K105-K104</f>
        <v>9088</v>
      </c>
      <c r="M105" s="54"/>
      <c r="N105" s="59" t="s">
        <v>60</v>
      </c>
      <c r="O105" s="63">
        <f t="array" ref="O105">INDEX('2. Financial Summary'!$C$18:$O$18, 1, ROW(A2))
</f>
        <v>205761</v>
      </c>
      <c r="P105" s="65">
        <f t="array" ref="P105">INDEX('2. Financial Summary'!$C$19:$O$19, 1, ROW(A2))
</f>
        <v>0.3105920179</v>
      </c>
      <c r="Q105" s="54"/>
      <c r="R105" s="59" t="s">
        <v>60</v>
      </c>
      <c r="S105" s="66">
        <f t="array" ref="S105">INDEX('2. Financial Summary'!$C$4:$O$4, 1, ROW(A2))
</f>
        <v>104</v>
      </c>
      <c r="T105" s="66">
        <f t="array" ref="T105">INDEX('2. Financial Summary'!$C$17:$O$17, 1, ROW(A2))
</f>
        <v>456719</v>
      </c>
    </row>
    <row r="106" ht="15.75" customHeight="1">
      <c r="B106" s="58"/>
      <c r="C106" s="59" t="s">
        <v>61</v>
      </c>
      <c r="D106" s="61">
        <f t="array" ref="D106">INDEX(('2. Financial Summary'!B$40:$M$40), 1, ROW(A3))</f>
        <v>529.400807</v>
      </c>
      <c r="E106" s="54"/>
      <c r="F106" s="59" t="s">
        <v>62</v>
      </c>
      <c r="G106" s="61">
        <f t="array" ref="G106">INDEX(('2. Financial Summary'!C$14:$O$14), 1, ROW(A3))</f>
        <v>1526460</v>
      </c>
      <c r="H106" s="61">
        <f t="shared" si="1"/>
        <v>850460</v>
      </c>
      <c r="I106" s="54"/>
      <c r="J106" s="59" t="s">
        <v>62</v>
      </c>
      <c r="K106" s="63">
        <f t="array" ref="K106">INDEX(('2. Financial Summary'!C$20:$O$20), 1, ROW(A3))</f>
        <v>149592.8</v>
      </c>
      <c r="L106" s="63">
        <f t="shared" si="2"/>
        <v>111736.8</v>
      </c>
      <c r="M106" s="54"/>
      <c r="N106" s="59" t="s">
        <v>62</v>
      </c>
      <c r="O106" s="63">
        <f t="array" ref="O106">INDEX('2. Financial Summary'!$C$18:$O$18, 1, ROW(A3))
</f>
        <v>173705</v>
      </c>
      <c r="P106" s="65">
        <f t="array" ref="P106">INDEX('2. Financial Summary'!$C$19:$O$19, 1, ROW(A3))
</f>
        <v>0.203879108</v>
      </c>
      <c r="Q106" s="54"/>
      <c r="R106" s="59" t="s">
        <v>62</v>
      </c>
      <c r="S106" s="66">
        <f t="array" ref="S106">INDEX('2. Financial Summary'!$C$4:$O$4, 1, ROW(A3))
</f>
        <v>228</v>
      </c>
      <c r="T106" s="66">
        <f t="array" ref="T106">INDEX('2. Financial Summary'!$C$17:$O$17, 1, ROW(A3))
</f>
        <v>678295</v>
      </c>
    </row>
    <row r="107" ht="15.75" customHeight="1">
      <c r="B107" s="58"/>
      <c r="C107" s="59" t="s">
        <v>63</v>
      </c>
      <c r="D107" s="61">
        <f t="array" ref="D107">INDEX(('2. Financial Summary'!B$40:$M$40), 1, ROW(A4))</f>
        <v>31563.49695</v>
      </c>
      <c r="E107" s="54"/>
      <c r="F107" s="59" t="s">
        <v>64</v>
      </c>
      <c r="G107" s="61">
        <f t="array" ref="G107">INDEX(('2. Financial Summary'!C$14:$O$14), 1, ROW(A4))</f>
        <v>1951525.55</v>
      </c>
      <c r="H107" s="61">
        <f t="shared" si="1"/>
        <v>425065.55</v>
      </c>
      <c r="I107" s="54"/>
      <c r="J107" s="59" t="s">
        <v>64</v>
      </c>
      <c r="K107" s="63">
        <f t="array" ref="K107">INDEX(('2. Financial Summary'!C$20:$O$20), 1, ROW(A4))</f>
        <v>245892.2</v>
      </c>
      <c r="L107" s="63">
        <f t="shared" si="2"/>
        <v>96299.4</v>
      </c>
      <c r="M107" s="54"/>
      <c r="N107" s="59" t="s">
        <v>64</v>
      </c>
      <c r="O107" s="63">
        <f t="array" ref="O107">INDEX('2. Financial Summary'!$C$18:$O$18, 1, ROW(A4))
</f>
        <v>398774.45</v>
      </c>
      <c r="P107" s="65">
        <f t="array" ref="P107">INDEX('2. Financial Summary'!$C$19:$O$19, 1, ROW(A4))
</f>
        <v>0.2043398561</v>
      </c>
      <c r="Q107" s="54"/>
      <c r="R107" s="59" t="s">
        <v>64</v>
      </c>
      <c r="S107" s="66">
        <f t="array" ref="S107">INDEX('2. Financial Summary'!$C$4:$O$4, 1, ROW(A4))
</f>
        <v>283</v>
      </c>
      <c r="T107" s="66">
        <f t="array" ref="T107">INDEX('2. Financial Summary'!$C$17:$O$17, 1, ROW(A4))
</f>
        <v>838225.55</v>
      </c>
    </row>
    <row r="108" ht="15.75" customHeight="1">
      <c r="B108" s="58"/>
      <c r="C108" s="59" t="s">
        <v>65</v>
      </c>
      <c r="D108" s="61">
        <f t="array" ref="D108">INDEX(('2. Financial Summary'!B$40:$M$40), 1, ROW(A5))</f>
        <v>15301.16718</v>
      </c>
      <c r="E108" s="54"/>
      <c r="F108" s="59" t="s">
        <v>66</v>
      </c>
      <c r="G108" s="61">
        <f t="array" ref="G108">INDEX(('2. Financial Summary'!C$14:$O$14), 1, ROW(A6))</f>
        <v>2998739.23</v>
      </c>
      <c r="H108" s="61">
        <f t="shared" si="1"/>
        <v>1047213.68</v>
      </c>
      <c r="I108" s="54"/>
      <c r="J108" s="59" t="s">
        <v>66</v>
      </c>
      <c r="K108" s="63">
        <f t="array" ref="K108">INDEX(('2. Financial Summary'!C$20:$O$20), 1, ROW(A6))</f>
        <v>421764.7555</v>
      </c>
      <c r="L108" s="63">
        <f t="shared" si="2"/>
        <v>175872.5555</v>
      </c>
      <c r="M108" s="54"/>
      <c r="N108" s="59" t="s">
        <v>66</v>
      </c>
      <c r="O108" s="63">
        <f t="array" ref="O108">INDEX('2. Financial Summary'!$C$18:$O$18, 1, ROW(A6))
</f>
        <v>609600.5312</v>
      </c>
      <c r="P108" s="65">
        <f t="array" ref="P108">INDEX('2. Financial Summary'!$C$19:$O$19, 1, ROW(A6))
</f>
        <v>0.2026461662</v>
      </c>
      <c r="Q108" s="54"/>
      <c r="R108" s="59" t="s">
        <v>66</v>
      </c>
      <c r="S108" s="66">
        <f t="array" ref="S108">INDEX('2. Financial Summary'!$C$4:$O$4, 1, ROW(A5))
</f>
        <v>283</v>
      </c>
      <c r="T108" s="66">
        <f t="array" ref="T108">INDEX('2. Financial Summary'!$C$17:$O$17, 1, ROW(A6))
</f>
        <v>2299176.522</v>
      </c>
    </row>
    <row r="109" ht="15.75" customHeight="1">
      <c r="B109" s="58"/>
      <c r="C109" s="59" t="s">
        <v>67</v>
      </c>
      <c r="D109" s="61">
        <f t="array" ref="D109">INDEX(('2. Financial Summary'!B$40:$M$40), 1, ROW(A6))</f>
        <v>22525.95086</v>
      </c>
      <c r="E109" s="54"/>
      <c r="F109" s="59" t="s">
        <v>68</v>
      </c>
      <c r="G109" s="61">
        <f t="array" ref="G109">INDEX(('2. Financial Summary'!C$14:$O$14), 1, ROW(A8))</f>
        <v>5205237.448</v>
      </c>
      <c r="H109" s="61">
        <f t="shared" si="1"/>
        <v>2206498.218</v>
      </c>
      <c r="I109" s="54"/>
      <c r="J109" s="59" t="s">
        <v>68</v>
      </c>
      <c r="K109" s="67">
        <f t="array" ref="K109">INDEX(('2. Financial Summary'!C$20:$O$20), 1, ROW(A8))</f>
        <v>423145.7899</v>
      </c>
      <c r="L109" s="67">
        <f t="shared" si="2"/>
        <v>1381.034415</v>
      </c>
      <c r="M109" s="54"/>
      <c r="N109" s="59" t="s">
        <v>68</v>
      </c>
      <c r="O109" s="61">
        <f t="array" ref="O109">INDEX('2. Financial Summary'!$C$18:$O$18, 1, ROW(A8))
</f>
        <v>2429651.603</v>
      </c>
      <c r="P109" s="65">
        <f t="array" ref="P109">INDEX('2. Financial Summary'!$C$19:$O$19, 1, ROW(A8))
</f>
        <v>0.4667705608</v>
      </c>
      <c r="Q109" s="54"/>
      <c r="R109" s="59" t="s">
        <v>68</v>
      </c>
      <c r="S109" s="66">
        <f t="array" ref="S109">INDEX('2. Financial Summary'!$C$4:$O$4, 1, ROW(A6))
</f>
        <v>513.76</v>
      </c>
      <c r="T109" s="66">
        <f t="array" ref="T109">INDEX('2. Financial Summary'!$C$17:$O$17, 1, ROW(A8))
</f>
        <v>2619428.721</v>
      </c>
    </row>
    <row r="110" ht="15.75" customHeight="1">
      <c r="B110" s="58"/>
      <c r="C110" s="59" t="s">
        <v>69</v>
      </c>
      <c r="D110" s="61">
        <f t="array" ref="D110">INDEX(('2. Financial Summary'!B$40:$M$40), 1, ROW(A7))</f>
        <v>52764.11891</v>
      </c>
      <c r="E110" s="54"/>
      <c r="F110" s="59" t="s">
        <v>70</v>
      </c>
      <c r="G110" s="61">
        <f t="array" ref="G110">INDEX(('2. Financial Summary'!C$14:$O$14), 1, ROW(A9))</f>
        <v>6470312.694</v>
      </c>
      <c r="H110" s="61">
        <f t="shared" si="1"/>
        <v>1265075.247</v>
      </c>
      <c r="I110" s="54"/>
      <c r="J110" s="59" t="s">
        <v>70</v>
      </c>
      <c r="K110" s="61">
        <f t="array" ref="K110">INDEX(('2. Financial Summary'!C$20:$O$20), 1, ROW(A9))</f>
        <v>1733306.21</v>
      </c>
      <c r="L110" s="61">
        <f t="shared" si="2"/>
        <v>1310160.42</v>
      </c>
      <c r="M110" s="54"/>
      <c r="N110" s="59" t="s">
        <v>70</v>
      </c>
      <c r="O110" s="61">
        <f t="array" ref="O110">INDEX('2. Financial Summary'!$C$18:$O$18, 1, ROW(A9))
</f>
        <v>3253327.263</v>
      </c>
      <c r="P110" s="65">
        <f t="array" ref="P110">INDEX('2. Financial Summary'!$C$19:$O$19, 1, ROW(A9))
</f>
        <v>0.5028083521</v>
      </c>
      <c r="Q110" s="54"/>
      <c r="R110" s="59" t="s">
        <v>70</v>
      </c>
      <c r="S110" s="66" t="str">
        <f t="array" ref="S110">INDEX('2. Financial Summary'!$C$4:$O$4, 1, ROW(A7))
</f>
        <v/>
      </c>
      <c r="T110" s="66">
        <f t="array" ref="T110">INDEX('2. Financial Summary'!$C$17:$O$17, 1, ROW(A9))
</f>
        <v>3022876.05</v>
      </c>
    </row>
    <row r="111" ht="15.75" customHeight="1">
      <c r="B111" s="58"/>
      <c r="C111" s="59" t="s">
        <v>71</v>
      </c>
      <c r="D111" s="61">
        <f t="array" ref="D111">INDEX(('2. Financial Summary'!B$40:$M$40), 1, ROW(A8))</f>
        <v>70442.90563</v>
      </c>
      <c r="E111" s="54"/>
      <c r="F111" s="59" t="s">
        <v>72</v>
      </c>
      <c r="G111" s="61">
        <f t="array" ref="G111">INDEX(('2. Financial Summary'!C$14:$O$14), 1, ROW(A10))</f>
        <v>7635262.09</v>
      </c>
      <c r="H111" s="61">
        <f t="shared" si="1"/>
        <v>1164949.396</v>
      </c>
      <c r="I111" s="54"/>
      <c r="J111" s="59" t="s">
        <v>72</v>
      </c>
      <c r="K111" s="61">
        <f t="array" ref="K111">INDEX(('2. Financial Summary'!C$20:$O$20), 1, ROW(A10))</f>
        <v>2327005.785</v>
      </c>
      <c r="L111" s="61">
        <f t="shared" si="2"/>
        <v>593699.5749</v>
      </c>
      <c r="M111" s="54"/>
      <c r="N111" s="59" t="s">
        <v>72</v>
      </c>
      <c r="O111" s="61">
        <f t="array" ref="O111">INDEX('2. Financial Summary'!$C$18:$O$18, 1, ROW(A10))
</f>
        <v>4018944.101</v>
      </c>
      <c r="P111" s="65">
        <f t="array" ref="P111">INDEX('2. Financial Summary'!$C$19:$O$19, 1, ROW(A10))
</f>
        <v>0.5263662273</v>
      </c>
      <c r="Q111" s="54"/>
      <c r="R111" s="59" t="s">
        <v>72</v>
      </c>
      <c r="S111" s="66">
        <f t="array" ref="S111">INDEX('2. Financial Summary'!$C$4:$O$4, 1, ROW(A8))
</f>
        <v>680</v>
      </c>
      <c r="T111" s="66">
        <f t="array" ref="T111">INDEX('2. Financial Summary'!$C$17:$O$17, 1, ROW(A10))
</f>
        <v>3387260.127</v>
      </c>
    </row>
    <row r="112" ht="15.75" customHeight="1">
      <c r="B112" s="58"/>
      <c r="C112" s="59" t="s">
        <v>73</v>
      </c>
      <c r="D112" s="61">
        <f t="array" ref="D112">INDEX(('2. Financial Summary'!B$40:$M$40), 1, ROW(A9))</f>
        <v>44199.9131</v>
      </c>
      <c r="E112" s="54"/>
      <c r="F112" s="59" t="s">
        <v>74</v>
      </c>
      <c r="G112" s="61">
        <f t="array" ref="G112">INDEX(('2. Financial Summary'!C$14:$O$14), 1, ROW(A11))</f>
        <v>8713097.351</v>
      </c>
      <c r="H112" s="61">
        <f t="shared" si="1"/>
        <v>1077835.26</v>
      </c>
      <c r="I112" s="54"/>
      <c r="J112" s="59" t="s">
        <v>74</v>
      </c>
      <c r="K112" s="61">
        <f t="array" ref="K112">INDEX(('2. Financial Summary'!C$20:$O$20), 1, ROW(A11))</f>
        <v>2879033.249</v>
      </c>
      <c r="L112" s="61">
        <f t="shared" si="2"/>
        <v>552027.464</v>
      </c>
      <c r="M112" s="54"/>
      <c r="N112" s="59" t="s">
        <v>74</v>
      </c>
      <c r="O112" s="61">
        <f t="array" ref="O112">INDEX('2. Financial Summary'!$C$18:$O$18, 1, ROW(A11))
</f>
        <v>4603287.075</v>
      </c>
      <c r="P112" s="65">
        <f t="array" ref="P112">INDEX('2. Financial Summary'!$C$19:$O$19, 1, ROW(A11))
</f>
        <v>0.5283181043</v>
      </c>
      <c r="Q112" s="54"/>
      <c r="R112" s="59" t="s">
        <v>74</v>
      </c>
      <c r="S112" s="66">
        <f t="array" ref="S112">INDEX('2. Financial Summary'!$C$4:$O$4, 1, ROW(A9))
</f>
        <v>821</v>
      </c>
      <c r="T112" s="66">
        <f t="array" ref="T112">INDEX('2. Financial Summary'!$C$17:$O$17, 1, ROW(A11))
</f>
        <v>3848417.356</v>
      </c>
    </row>
    <row r="113" ht="15.75" customHeight="1">
      <c r="B113" s="58"/>
      <c r="C113" s="59" t="s">
        <v>75</v>
      </c>
      <c r="D113" s="61">
        <f t="array" ref="D113">INDEX(('2. Financial Summary'!B$40:$M$40), 1, ROW(A10))</f>
        <v>51572.81931</v>
      </c>
      <c r="E113" s="54"/>
      <c r="F113" s="59" t="s">
        <v>76</v>
      </c>
      <c r="G113" s="61">
        <f t="array" ref="G113">INDEX(('2. Financial Summary'!C$14:$O$14), 1, ROW(A12))</f>
        <v>10415689.78</v>
      </c>
      <c r="H113" s="61">
        <f t="shared" si="1"/>
        <v>1702592.429</v>
      </c>
      <c r="I113" s="54"/>
      <c r="J113" s="59" t="s">
        <v>76</v>
      </c>
      <c r="K113" s="61">
        <f t="array" ref="K113">INDEX(('2. Financial Summary'!C$20:$O$20), 1, ROW(A12))</f>
        <v>3300662.662</v>
      </c>
      <c r="L113" s="61">
        <f t="shared" si="2"/>
        <v>421629.4137</v>
      </c>
      <c r="M113" s="54"/>
      <c r="N113" s="59" t="s">
        <v>76</v>
      </c>
      <c r="O113" s="61">
        <f t="array" ref="O113">INDEX('2. Financial Summary'!$C$18:$O$18, 1, ROW(A12))
</f>
        <v>5799932.799</v>
      </c>
      <c r="P113" s="65">
        <f t="array" ref="P113">INDEX('2. Financial Summary'!$C$19:$O$19, 1, ROW(A12))
</f>
        <v>0.5568457703</v>
      </c>
      <c r="Q113" s="54"/>
      <c r="R113" s="59" t="s">
        <v>76</v>
      </c>
      <c r="S113" s="66">
        <f t="array" ref="S113">INDEX('2. Financial Summary'!$C$4:$O$4, 1, ROW(A10))
</f>
        <v>941</v>
      </c>
      <c r="T113" s="66">
        <f t="array" ref="T113">INDEX('2. Financial Summary'!$C$17:$O$17, 1, ROW(A12))
</f>
        <v>4303286.287</v>
      </c>
    </row>
    <row r="114" ht="15.75" customHeight="1">
      <c r="B114" s="58"/>
      <c r="C114" s="59" t="s">
        <v>77</v>
      </c>
      <c r="D114" s="61">
        <f t="array" ref="D114">INDEX(('2. Financial Summary'!B$40:$M$40), 1, ROW(A11))</f>
        <v>58962.39579</v>
      </c>
      <c r="E114" s="54"/>
      <c r="F114" s="59" t="s">
        <v>78</v>
      </c>
      <c r="G114" s="61">
        <f t="array" ref="G114">INDEX(('2. Financial Summary'!C$14:$O$14), 1, ROW(A13))</f>
        <v>11981164.01</v>
      </c>
      <c r="H114" s="61">
        <f t="shared" si="1"/>
        <v>1565474.232</v>
      </c>
      <c r="I114" s="54"/>
      <c r="J114" s="59" t="s">
        <v>78</v>
      </c>
      <c r="K114" s="61">
        <f t="array" ref="K114">INDEX(('2. Financial Summary'!C$20:$O$20), 1, ROW(A13))</f>
        <v>4163459.651</v>
      </c>
      <c r="L114" s="61">
        <f t="shared" si="2"/>
        <v>862796.9885</v>
      </c>
      <c r="M114" s="54"/>
      <c r="N114" s="59" t="s">
        <v>78</v>
      </c>
      <c r="O114" s="61">
        <f t="array" ref="O114">INDEX('2. Financial Summary'!$C$18:$O$18, 1, ROW(A13))
</f>
        <v>6911977.671</v>
      </c>
      <c r="P114" s="65">
        <f t="array" ref="P114">INDEX('2. Financial Summary'!$C$19:$O$19, 1, ROW(A13))
</f>
        <v>0.5769036852</v>
      </c>
      <c r="Q114" s="54"/>
      <c r="R114" s="59" t="s">
        <v>78</v>
      </c>
      <c r="S114" s="66">
        <f t="array" ref="S114">INDEX('2. Financial Summary'!$C$4:$O$4, 1, ROW(A11))
</f>
        <v>1043</v>
      </c>
      <c r="T114" s="66">
        <f t="array" ref="T114">INDEX('2. Financial Summary'!$C$17:$O$17, 1, ROW(A13))
</f>
        <v>4709751.421</v>
      </c>
    </row>
    <row r="115" ht="15.75" customHeight="1">
      <c r="B115" s="3"/>
      <c r="C115" s="59" t="s">
        <v>79</v>
      </c>
      <c r="D115" s="61">
        <f t="array" ref="D115">INDEX(('2. Financial Summary'!B$40:$M$40), 1, ROW(A12))</f>
        <v>90329.85342</v>
      </c>
    </row>
    <row r="116" ht="15.75" customHeight="1">
      <c r="B116" s="3"/>
      <c r="C116" s="3"/>
    </row>
    <row r="117" ht="15.75" customHeight="1">
      <c r="B117" s="3"/>
      <c r="C117" s="3"/>
      <c r="G117" s="47"/>
      <c r="T117" s="68"/>
    </row>
    <row r="118" ht="15.75" customHeight="1">
      <c r="G118" s="47"/>
      <c r="T118" s="68"/>
    </row>
    <row r="119" ht="15.75" customHeight="1">
      <c r="T119" s="68"/>
    </row>
    <row r="120" ht="15.75" customHeight="1">
      <c r="T120" s="68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>
      <c r="B133" s="3"/>
      <c r="C133" s="3"/>
    </row>
    <row r="134" ht="15.75" customHeight="1">
      <c r="B134" s="3"/>
      <c r="C134" s="3"/>
    </row>
    <row r="135" ht="15.75" customHeight="1">
      <c r="B135" s="3"/>
      <c r="C135" s="3"/>
    </row>
    <row r="136" ht="15.75" customHeight="1">
      <c r="B136" s="3"/>
      <c r="C136" s="3"/>
    </row>
    <row r="137" ht="15.75" customHeight="1">
      <c r="B137" s="3"/>
      <c r="C137" s="3"/>
      <c r="G137" s="47"/>
    </row>
    <row r="138" ht="15.75" customHeight="1">
      <c r="B138" s="3"/>
      <c r="C138" s="3"/>
      <c r="G138" s="47"/>
    </row>
    <row r="139" ht="15.75" customHeight="1">
      <c r="B139" s="3"/>
      <c r="C139" s="3"/>
      <c r="G139" s="47"/>
    </row>
    <row r="140" ht="15.75" customHeight="1">
      <c r="B140" s="3"/>
      <c r="C140" s="3"/>
    </row>
    <row r="141" ht="15.75" customHeight="1">
      <c r="B141" s="3"/>
      <c r="C141" s="3"/>
    </row>
    <row r="142" ht="15.75" customHeight="1">
      <c r="B142" s="3"/>
      <c r="C142" s="3"/>
    </row>
    <row r="143" ht="15.75" customHeight="1">
      <c r="B143" s="3"/>
      <c r="C143" s="3"/>
    </row>
    <row r="144" ht="15.75" customHeight="1">
      <c r="B144" s="3"/>
      <c r="C144" s="3"/>
    </row>
    <row r="145" ht="15.75" customHeight="1">
      <c r="B145" s="3"/>
      <c r="C145" s="3"/>
    </row>
    <row r="146" ht="15.75" customHeight="1">
      <c r="B146" s="3"/>
      <c r="C146" s="3"/>
    </row>
    <row r="147" ht="15.75" customHeight="1">
      <c r="B147" s="3"/>
      <c r="C147" s="3"/>
    </row>
    <row r="148" ht="15.75" customHeight="1">
      <c r="B148" s="3"/>
      <c r="C148" s="3"/>
    </row>
    <row r="149" ht="15.75" customHeight="1">
      <c r="B149" s="3"/>
      <c r="C149" s="3"/>
    </row>
    <row r="150" ht="15.75" customHeight="1">
      <c r="B150" s="3"/>
      <c r="C150" s="3"/>
    </row>
    <row r="151" ht="15.75" customHeight="1">
      <c r="B151" s="3"/>
      <c r="C151" s="3"/>
    </row>
    <row r="152" ht="15.75" customHeight="1">
      <c r="B152" s="3"/>
      <c r="C152" s="3"/>
    </row>
    <row r="153" ht="15.75" customHeight="1">
      <c r="B153" s="3"/>
      <c r="C153" s="3"/>
    </row>
    <row r="154" ht="15.75" customHeight="1">
      <c r="B154" s="3"/>
      <c r="C154" s="3"/>
    </row>
    <row r="155" ht="15.75" customHeight="1">
      <c r="B155" s="3"/>
      <c r="C155" s="3"/>
    </row>
    <row r="156" ht="15.75" customHeight="1">
      <c r="B156" s="3"/>
      <c r="C156" s="3"/>
    </row>
    <row r="157" ht="15.75" customHeight="1">
      <c r="B157" s="3"/>
      <c r="C157" s="3"/>
    </row>
    <row r="158" ht="15.75" customHeight="1">
      <c r="B158" s="3"/>
      <c r="C158" s="3"/>
    </row>
    <row r="159" ht="15.75" customHeight="1">
      <c r="B159" s="3"/>
      <c r="C159" s="3"/>
    </row>
    <row r="160" ht="15.75" customHeight="1">
      <c r="B160" s="3"/>
      <c r="C160" s="3"/>
    </row>
    <row r="161" ht="15.75" customHeight="1">
      <c r="B161" s="3"/>
      <c r="C161" s="3"/>
    </row>
    <row r="162" ht="15.75" customHeight="1">
      <c r="B162" s="3"/>
      <c r="C162" s="3"/>
    </row>
    <row r="163" ht="15.75" customHeight="1">
      <c r="B163" s="3"/>
      <c r="C163" s="3"/>
    </row>
    <row r="164" ht="15.75" customHeight="1">
      <c r="B164" s="3"/>
      <c r="C164" s="3"/>
    </row>
    <row r="165" ht="15.75" customHeight="1">
      <c r="B165" s="3"/>
      <c r="C165" s="3"/>
    </row>
    <row r="166" ht="15.75" customHeight="1">
      <c r="B166" s="3"/>
      <c r="C166" s="3"/>
    </row>
    <row r="167" ht="15.75" customHeight="1">
      <c r="B167" s="3"/>
      <c r="C167" s="3"/>
    </row>
    <row r="168" ht="15.75" customHeight="1">
      <c r="B168" s="3"/>
      <c r="C168" s="3"/>
    </row>
    <row r="169" ht="15.75" customHeight="1">
      <c r="B169" s="3"/>
      <c r="C169" s="3"/>
    </row>
    <row r="170" ht="15.75" customHeight="1">
      <c r="B170" s="3"/>
      <c r="C170" s="3"/>
    </row>
    <row r="171" ht="15.75" customHeight="1">
      <c r="B171" s="3"/>
      <c r="C171" s="3"/>
    </row>
    <row r="172" ht="15.75" customHeight="1">
      <c r="B172" s="3"/>
      <c r="C172" s="3"/>
    </row>
    <row r="173" ht="15.75" customHeight="1">
      <c r="B173" s="3"/>
      <c r="C173" s="3"/>
    </row>
    <row r="174" ht="15.75" customHeight="1">
      <c r="B174" s="3"/>
      <c r="C174" s="3"/>
    </row>
    <row r="175" ht="15.75" customHeight="1">
      <c r="B175" s="3"/>
      <c r="C175" s="3"/>
    </row>
    <row r="176" ht="15.75" customHeight="1">
      <c r="B176" s="3"/>
      <c r="C176" s="3"/>
    </row>
    <row r="177" ht="15.75" customHeight="1">
      <c r="B177" s="3"/>
      <c r="C177" s="3"/>
    </row>
    <row r="178" ht="15.75" customHeight="1">
      <c r="B178" s="3"/>
      <c r="C178" s="3"/>
    </row>
    <row r="179" ht="15.75" customHeight="1">
      <c r="B179" s="3"/>
      <c r="C179" s="3"/>
    </row>
    <row r="180" ht="15.75" customHeight="1">
      <c r="B180" s="3"/>
      <c r="C180" s="3"/>
    </row>
    <row r="181" ht="15.75" customHeight="1">
      <c r="B181" s="3"/>
      <c r="C181" s="3"/>
    </row>
    <row r="182" ht="15.75" customHeight="1">
      <c r="B182" s="3"/>
      <c r="C182" s="3"/>
    </row>
    <row r="183" ht="15.75" customHeight="1">
      <c r="B183" s="3"/>
      <c r="C183" s="3"/>
    </row>
    <row r="184" ht="15.75" customHeight="1">
      <c r="B184" s="3"/>
      <c r="C184" s="3"/>
    </row>
    <row r="185" ht="15.75" customHeight="1">
      <c r="B185" s="3"/>
      <c r="C185" s="3"/>
    </row>
    <row r="186" ht="15.75" customHeight="1">
      <c r="B186" s="3"/>
      <c r="C186" s="3"/>
    </row>
    <row r="187" ht="15.75" customHeight="1">
      <c r="B187" s="3"/>
      <c r="C187" s="3"/>
    </row>
    <row r="188" ht="15.75" customHeight="1">
      <c r="B188" s="3"/>
      <c r="C188" s="3"/>
    </row>
    <row r="189" ht="15.75" customHeight="1">
      <c r="B189" s="3"/>
      <c r="C189" s="3"/>
    </row>
    <row r="190" ht="15.75" customHeight="1">
      <c r="B190" s="3"/>
      <c r="C190" s="3"/>
    </row>
    <row r="191" ht="15.75" customHeight="1">
      <c r="B191" s="3"/>
      <c r="C191" s="3"/>
    </row>
    <row r="192" ht="15.75" customHeight="1">
      <c r="B192" s="3"/>
      <c r="C192" s="3"/>
    </row>
    <row r="193" ht="15.75" customHeight="1">
      <c r="B193" s="3"/>
      <c r="C193" s="3"/>
    </row>
    <row r="194" ht="15.75" customHeight="1">
      <c r="B194" s="3"/>
      <c r="C194" s="3"/>
    </row>
    <row r="195" ht="15.75" customHeight="1">
      <c r="B195" s="3"/>
      <c r="C195" s="3"/>
    </row>
    <row r="196" ht="15.75" customHeight="1">
      <c r="B196" s="3"/>
      <c r="C196" s="3"/>
    </row>
    <row r="197" ht="15.75" customHeight="1">
      <c r="B197" s="3"/>
      <c r="C197" s="3"/>
    </row>
    <row r="198" ht="15.75" customHeight="1">
      <c r="B198" s="3"/>
      <c r="C198" s="3"/>
    </row>
    <row r="199" ht="15.75" customHeight="1">
      <c r="B199" s="3"/>
      <c r="C199" s="3"/>
    </row>
    <row r="200" ht="15.75" customHeight="1">
      <c r="B200" s="3"/>
      <c r="C200" s="3"/>
    </row>
    <row r="201" ht="15.75" customHeight="1">
      <c r="B201" s="3"/>
      <c r="C201" s="3"/>
    </row>
    <row r="202" ht="15.75" customHeight="1">
      <c r="B202" s="3"/>
      <c r="C202" s="3"/>
    </row>
    <row r="203" ht="15.75" customHeight="1">
      <c r="B203" s="3"/>
      <c r="C203" s="3"/>
    </row>
    <row r="204" ht="15.75" customHeight="1">
      <c r="B204" s="3"/>
      <c r="C204" s="3"/>
    </row>
    <row r="205" ht="15.75" customHeight="1">
      <c r="B205" s="3"/>
      <c r="C205" s="3"/>
    </row>
    <row r="206" ht="15.75" customHeight="1">
      <c r="B206" s="3"/>
      <c r="C206" s="3"/>
    </row>
    <row r="207" ht="15.75" customHeight="1">
      <c r="B207" s="3"/>
      <c r="C207" s="3"/>
    </row>
    <row r="208" ht="15.75" customHeight="1">
      <c r="B208" s="3"/>
      <c r="C208" s="3"/>
    </row>
    <row r="209" ht="15.75" customHeight="1">
      <c r="B209" s="3"/>
      <c r="C209" s="3"/>
    </row>
    <row r="210" ht="15.75" customHeight="1">
      <c r="B210" s="3"/>
      <c r="C210" s="3"/>
    </row>
    <row r="211" ht="15.75" customHeight="1">
      <c r="B211" s="3"/>
      <c r="C211" s="3"/>
    </row>
    <row r="212" ht="15.75" customHeight="1">
      <c r="B212" s="3"/>
      <c r="C212" s="3"/>
    </row>
    <row r="213" ht="15.75" customHeight="1">
      <c r="B213" s="3"/>
      <c r="C213" s="3"/>
    </row>
    <row r="214" ht="15.75" customHeight="1">
      <c r="B214" s="3"/>
      <c r="C214" s="3"/>
    </row>
    <row r="215" ht="15.75" customHeight="1">
      <c r="B215" s="3"/>
      <c r="C215" s="3"/>
    </row>
    <row r="216" ht="15.75" customHeight="1">
      <c r="B216" s="3"/>
      <c r="C216" s="3"/>
    </row>
    <row r="217" ht="15.75" customHeight="1">
      <c r="B217" s="3"/>
      <c r="C217" s="3"/>
    </row>
    <row r="218" ht="15.75" customHeight="1">
      <c r="B218" s="3"/>
      <c r="C218" s="3"/>
    </row>
    <row r="219" ht="15.75" customHeight="1">
      <c r="B219" s="3"/>
      <c r="C219" s="3"/>
    </row>
    <row r="220" ht="15.75" customHeight="1">
      <c r="B220" s="3"/>
      <c r="C220" s="3"/>
    </row>
    <row r="221" ht="15.75" customHeight="1">
      <c r="B221" s="3"/>
      <c r="C221" s="3"/>
    </row>
    <row r="222" ht="15.75" customHeight="1">
      <c r="B222" s="3"/>
      <c r="C222" s="3"/>
    </row>
    <row r="223" ht="15.75" customHeight="1">
      <c r="B223" s="3"/>
      <c r="C223" s="3"/>
    </row>
    <row r="224" ht="15.75" customHeight="1">
      <c r="B224" s="3"/>
      <c r="C224" s="3"/>
    </row>
    <row r="225" ht="15.75" customHeight="1">
      <c r="B225" s="3"/>
      <c r="C225" s="3"/>
    </row>
    <row r="226" ht="15.75" customHeight="1">
      <c r="B226" s="3"/>
      <c r="C226" s="3"/>
    </row>
    <row r="227" ht="15.75" customHeight="1">
      <c r="B227" s="3"/>
      <c r="C227" s="3"/>
    </row>
    <row r="228" ht="15.75" customHeight="1">
      <c r="B228" s="3"/>
      <c r="C228" s="3"/>
    </row>
    <row r="229" ht="15.75" customHeight="1">
      <c r="B229" s="3"/>
      <c r="C229" s="3"/>
    </row>
    <row r="230" ht="15.75" customHeight="1">
      <c r="B230" s="3"/>
      <c r="C230" s="3"/>
    </row>
    <row r="231" ht="15.75" customHeight="1">
      <c r="B231" s="3"/>
      <c r="C231" s="3"/>
    </row>
    <row r="232" ht="15.75" customHeight="1">
      <c r="B232" s="3"/>
      <c r="C232" s="3"/>
    </row>
    <row r="233" ht="15.75" customHeight="1">
      <c r="B233" s="3"/>
      <c r="C233" s="3"/>
    </row>
    <row r="234" ht="15.75" customHeight="1">
      <c r="B234" s="3"/>
      <c r="C234" s="3"/>
    </row>
    <row r="235" ht="15.75" customHeight="1">
      <c r="B235" s="3"/>
      <c r="C235" s="3"/>
    </row>
    <row r="236" ht="15.75" customHeight="1">
      <c r="B236" s="3"/>
      <c r="C236" s="3"/>
    </row>
    <row r="237" ht="15.75" customHeight="1">
      <c r="B237" s="3"/>
      <c r="C237" s="3"/>
    </row>
    <row r="238" ht="15.75" customHeight="1">
      <c r="B238" s="3"/>
      <c r="C238" s="3"/>
    </row>
    <row r="239" ht="15.75" customHeight="1">
      <c r="B239" s="3"/>
      <c r="C239" s="3"/>
    </row>
    <row r="240" ht="15.75" customHeight="1">
      <c r="B240" s="3"/>
      <c r="C240" s="3"/>
    </row>
    <row r="241" ht="15.75" customHeight="1">
      <c r="B241" s="3"/>
      <c r="C241" s="3"/>
    </row>
    <row r="242" ht="15.75" customHeight="1">
      <c r="B242" s="3"/>
      <c r="C242" s="3"/>
    </row>
    <row r="243" ht="15.75" customHeight="1">
      <c r="B243" s="3"/>
      <c r="C243" s="3"/>
    </row>
    <row r="244" ht="15.75" customHeight="1">
      <c r="B244" s="3"/>
      <c r="C244" s="3"/>
    </row>
    <row r="245" ht="15.75" customHeight="1">
      <c r="B245" s="3"/>
      <c r="C245" s="3"/>
    </row>
    <row r="246" ht="15.75" customHeight="1">
      <c r="B246" s="3"/>
      <c r="C246" s="3"/>
    </row>
    <row r="247" ht="15.75" customHeight="1">
      <c r="B247" s="3"/>
      <c r="C247" s="3"/>
    </row>
    <row r="248" ht="15.75" customHeight="1">
      <c r="B248" s="3"/>
      <c r="C248" s="3"/>
    </row>
    <row r="249" ht="15.75" customHeight="1">
      <c r="B249" s="3"/>
      <c r="C249" s="3"/>
    </row>
    <row r="250" ht="15.75" customHeight="1">
      <c r="B250" s="3"/>
      <c r="C250" s="3"/>
    </row>
    <row r="251" ht="15.75" customHeight="1">
      <c r="B251" s="3"/>
      <c r="C251" s="3"/>
    </row>
    <row r="252" ht="15.75" customHeight="1">
      <c r="B252" s="3"/>
      <c r="C252" s="3"/>
    </row>
    <row r="253" ht="15.75" customHeight="1">
      <c r="B253" s="3"/>
      <c r="C253" s="3"/>
    </row>
    <row r="254" ht="15.75" customHeight="1">
      <c r="B254" s="3"/>
      <c r="C254" s="3"/>
    </row>
    <row r="255" ht="15.75" customHeight="1">
      <c r="B255" s="3"/>
      <c r="C255" s="3"/>
    </row>
    <row r="256" ht="15.75" customHeight="1">
      <c r="B256" s="3"/>
      <c r="C256" s="3"/>
    </row>
    <row r="257" ht="15.75" customHeight="1">
      <c r="B257" s="3"/>
      <c r="C257" s="3"/>
    </row>
    <row r="258" ht="15.75" customHeight="1">
      <c r="B258" s="3"/>
      <c r="C258" s="3"/>
    </row>
    <row r="259" ht="15.75" customHeight="1">
      <c r="B259" s="3"/>
      <c r="C259" s="3"/>
    </row>
    <row r="260" ht="15.75" customHeight="1">
      <c r="B260" s="3"/>
      <c r="C260" s="3"/>
    </row>
    <row r="261" ht="15.75" customHeight="1">
      <c r="B261" s="3"/>
      <c r="C261" s="3"/>
    </row>
    <row r="262" ht="15.75" customHeight="1">
      <c r="B262" s="3"/>
      <c r="C262" s="3"/>
    </row>
    <row r="263" ht="15.75" customHeight="1">
      <c r="B263" s="3"/>
      <c r="C263" s="3"/>
    </row>
    <row r="264" ht="15.75" customHeight="1">
      <c r="B264" s="3"/>
      <c r="C264" s="3"/>
    </row>
    <row r="265" ht="15.75" customHeight="1">
      <c r="B265" s="3"/>
      <c r="C265" s="3"/>
    </row>
    <row r="266" ht="15.75" customHeight="1">
      <c r="B266" s="3"/>
      <c r="C266" s="3"/>
    </row>
    <row r="267" ht="15.75" customHeight="1">
      <c r="B267" s="3"/>
      <c r="C267" s="3"/>
    </row>
    <row r="268" ht="15.75" customHeight="1">
      <c r="B268" s="3"/>
      <c r="C268" s="3"/>
    </row>
    <row r="269" ht="15.75" customHeight="1">
      <c r="B269" s="3"/>
      <c r="C269" s="3"/>
    </row>
    <row r="270" ht="15.75" customHeight="1">
      <c r="B270" s="3"/>
      <c r="C270" s="3"/>
    </row>
    <row r="271" ht="15.75" customHeight="1">
      <c r="B271" s="3"/>
      <c r="C271" s="3"/>
    </row>
    <row r="272" ht="15.75" customHeight="1">
      <c r="B272" s="3"/>
      <c r="C272" s="3"/>
    </row>
    <row r="273" ht="15.75" customHeight="1">
      <c r="B273" s="3"/>
      <c r="C273" s="3"/>
    </row>
    <row r="274" ht="15.75" customHeight="1">
      <c r="B274" s="3"/>
      <c r="C274" s="3"/>
    </row>
    <row r="275" ht="15.75" customHeight="1">
      <c r="B275" s="3"/>
      <c r="C275" s="3"/>
    </row>
    <row r="276" ht="15.75" customHeight="1">
      <c r="B276" s="3"/>
      <c r="C276" s="3"/>
    </row>
    <row r="277" ht="15.75" customHeight="1">
      <c r="B277" s="3"/>
      <c r="C277" s="3"/>
    </row>
    <row r="278" ht="15.75" customHeight="1">
      <c r="B278" s="3"/>
      <c r="C278" s="3"/>
    </row>
    <row r="279" ht="15.75" customHeight="1">
      <c r="B279" s="3"/>
      <c r="C279" s="3"/>
    </row>
    <row r="280" ht="15.75" customHeight="1">
      <c r="B280" s="3"/>
      <c r="C280" s="3"/>
    </row>
    <row r="281" ht="15.75" customHeight="1">
      <c r="B281" s="3"/>
      <c r="C281" s="3"/>
    </row>
    <row r="282" ht="15.75" customHeight="1">
      <c r="B282" s="3"/>
      <c r="C282" s="3"/>
    </row>
    <row r="283" ht="15.75" customHeight="1">
      <c r="B283" s="3"/>
      <c r="C283" s="3"/>
    </row>
    <row r="284" ht="15.75" customHeight="1">
      <c r="B284" s="3"/>
      <c r="C284" s="3"/>
    </row>
    <row r="285" ht="15.75" customHeight="1">
      <c r="B285" s="3"/>
      <c r="C285" s="3"/>
    </row>
    <row r="286" ht="15.75" customHeight="1">
      <c r="B286" s="3"/>
      <c r="C286" s="3"/>
    </row>
    <row r="287" ht="15.75" customHeight="1">
      <c r="B287" s="3"/>
      <c r="C287" s="3"/>
    </row>
    <row r="288" ht="15.75" customHeight="1">
      <c r="B288" s="3"/>
      <c r="C288" s="3"/>
    </row>
    <row r="289" ht="15.75" customHeight="1">
      <c r="B289" s="3"/>
      <c r="C289" s="3"/>
    </row>
    <row r="290" ht="15.75" customHeight="1">
      <c r="B290" s="3"/>
      <c r="C290" s="3"/>
    </row>
    <row r="291" ht="15.75" customHeight="1">
      <c r="B291" s="3"/>
      <c r="C291" s="3"/>
    </row>
    <row r="292" ht="15.75" customHeight="1">
      <c r="B292" s="3"/>
      <c r="C292" s="3"/>
    </row>
    <row r="293" ht="15.75" customHeight="1">
      <c r="B293" s="3"/>
      <c r="C293" s="3"/>
    </row>
    <row r="294" ht="15.75" customHeight="1">
      <c r="B294" s="3"/>
      <c r="C294" s="3"/>
    </row>
    <row r="295" ht="15.75" customHeight="1">
      <c r="B295" s="3"/>
      <c r="C295" s="3"/>
    </row>
    <row r="296" ht="15.75" customHeight="1">
      <c r="B296" s="3"/>
      <c r="C296" s="3"/>
    </row>
    <row r="297" ht="15.75" customHeight="1">
      <c r="B297" s="3"/>
      <c r="C297" s="3"/>
    </row>
    <row r="298" ht="15.75" customHeight="1">
      <c r="B298" s="3"/>
      <c r="C298" s="3"/>
    </row>
    <row r="299" ht="15.75" customHeight="1">
      <c r="B299" s="3"/>
      <c r="C299" s="3"/>
    </row>
    <row r="300" ht="15.75" customHeight="1">
      <c r="B300" s="3"/>
      <c r="C300" s="3"/>
    </row>
    <row r="301" ht="15.75" customHeight="1">
      <c r="B301" s="3"/>
      <c r="C301" s="3"/>
    </row>
    <row r="302" ht="15.75" customHeight="1">
      <c r="B302" s="3"/>
      <c r="C302" s="3"/>
    </row>
    <row r="303" ht="15.75" customHeight="1">
      <c r="B303" s="3"/>
      <c r="C303" s="3"/>
    </row>
    <row r="304" ht="15.75" customHeight="1">
      <c r="B304" s="3"/>
      <c r="C304" s="3"/>
    </row>
    <row r="305" ht="15.75" customHeight="1">
      <c r="B305" s="3"/>
      <c r="C305" s="3"/>
    </row>
    <row r="306" ht="15.75" customHeight="1">
      <c r="B306" s="3"/>
      <c r="C306" s="3"/>
    </row>
    <row r="307" ht="15.75" customHeight="1">
      <c r="B307" s="3"/>
      <c r="C307" s="3"/>
    </row>
    <row r="308" ht="15.75" customHeight="1">
      <c r="B308" s="3"/>
      <c r="C308" s="3"/>
    </row>
    <row r="309" ht="15.75" customHeight="1">
      <c r="B309" s="3"/>
      <c r="C309" s="3"/>
    </row>
    <row r="310" ht="15.75" customHeight="1">
      <c r="B310" s="3"/>
      <c r="C310" s="3"/>
    </row>
    <row r="311" ht="15.75" customHeight="1">
      <c r="B311" s="3"/>
      <c r="C311" s="3"/>
    </row>
    <row r="312" ht="15.75" customHeight="1">
      <c r="B312" s="3"/>
      <c r="C312" s="3"/>
    </row>
    <row r="313" ht="15.75" customHeight="1">
      <c r="B313" s="3"/>
      <c r="C313" s="3"/>
    </row>
    <row r="314" ht="15.75" customHeight="1">
      <c r="B314" s="3"/>
      <c r="C314" s="3"/>
    </row>
    <row r="315" ht="15.75" customHeight="1">
      <c r="B315" s="3"/>
      <c r="C315" s="3"/>
    </row>
    <row r="316" ht="15.75" customHeight="1">
      <c r="B316" s="3"/>
      <c r="C316" s="3"/>
    </row>
    <row r="317" ht="15.75" customHeight="1">
      <c r="B317" s="3"/>
      <c r="C317" s="3"/>
    </row>
    <row r="318" ht="15.75" customHeight="1">
      <c r="B318" s="3"/>
      <c r="C318" s="3"/>
    </row>
    <row r="319" ht="15.75" customHeight="1">
      <c r="B319" s="3"/>
      <c r="C319" s="3"/>
    </row>
    <row r="320" ht="15.75" customHeight="1">
      <c r="B320" s="3"/>
      <c r="C320" s="3"/>
    </row>
    <row r="321" ht="15.75" customHeight="1">
      <c r="B321" s="3"/>
      <c r="C321" s="3"/>
    </row>
    <row r="322" ht="15.75" customHeight="1">
      <c r="B322" s="3"/>
      <c r="C322" s="3"/>
    </row>
    <row r="323" ht="15.75" customHeight="1">
      <c r="B323" s="3"/>
      <c r="C323" s="3"/>
    </row>
    <row r="324" ht="15.75" customHeight="1">
      <c r="B324" s="3"/>
      <c r="C324" s="3"/>
    </row>
    <row r="325" ht="15.75" customHeight="1">
      <c r="B325" s="3"/>
      <c r="C325" s="3"/>
    </row>
    <row r="326" ht="15.75" customHeight="1">
      <c r="B326" s="3"/>
      <c r="C326" s="3"/>
    </row>
    <row r="327" ht="15.75" customHeight="1">
      <c r="B327" s="3"/>
      <c r="C327" s="3"/>
    </row>
    <row r="328" ht="15.75" customHeight="1">
      <c r="B328" s="3"/>
      <c r="C328" s="3"/>
    </row>
    <row r="329" ht="15.75" customHeight="1">
      <c r="B329" s="3"/>
      <c r="C329" s="3"/>
    </row>
    <row r="330" ht="15.75" customHeight="1">
      <c r="B330" s="3"/>
      <c r="C330" s="3"/>
    </row>
    <row r="331" ht="15.75" customHeight="1">
      <c r="B331" s="3"/>
      <c r="C331" s="3"/>
    </row>
    <row r="332" ht="15.75" customHeight="1">
      <c r="B332" s="3"/>
      <c r="C332" s="3"/>
    </row>
    <row r="333" ht="15.75" customHeight="1">
      <c r="B333" s="3"/>
      <c r="C333" s="3"/>
    </row>
    <row r="334" ht="15.75" customHeight="1">
      <c r="B334" s="3"/>
      <c r="C334" s="3"/>
    </row>
    <row r="335" ht="15.75" customHeight="1">
      <c r="B335" s="3"/>
      <c r="C335" s="3"/>
    </row>
    <row r="336" ht="15.75" customHeight="1">
      <c r="B336" s="3"/>
      <c r="C336" s="3"/>
    </row>
    <row r="337" ht="15.75" customHeight="1">
      <c r="B337" s="3"/>
      <c r="C337" s="3"/>
    </row>
    <row r="338" ht="15.75" customHeight="1">
      <c r="B338" s="3"/>
      <c r="C338" s="3"/>
    </row>
    <row r="339" ht="15.75" customHeight="1">
      <c r="B339" s="3"/>
      <c r="C339" s="3"/>
    </row>
    <row r="340" ht="15.75" customHeight="1">
      <c r="B340" s="3"/>
      <c r="C340" s="3"/>
    </row>
    <row r="341" ht="15.75" customHeight="1">
      <c r="B341" s="3"/>
      <c r="C341" s="3"/>
    </row>
    <row r="342" ht="15.75" customHeight="1">
      <c r="B342" s="3"/>
      <c r="C342" s="3"/>
    </row>
    <row r="343" ht="15.75" customHeight="1">
      <c r="B343" s="3"/>
      <c r="C343" s="3"/>
    </row>
    <row r="344" ht="15.75" customHeight="1">
      <c r="B344" s="3"/>
      <c r="C344" s="3"/>
    </row>
    <row r="345" ht="15.75" customHeight="1">
      <c r="B345" s="3"/>
      <c r="C345" s="3"/>
    </row>
    <row r="346" ht="15.75" customHeight="1">
      <c r="B346" s="3"/>
      <c r="C346" s="3"/>
    </row>
    <row r="347" ht="15.75" customHeight="1">
      <c r="B347" s="3"/>
      <c r="C347" s="3"/>
    </row>
    <row r="348" ht="15.75" customHeight="1">
      <c r="B348" s="3"/>
      <c r="C348" s="3"/>
    </row>
    <row r="349" ht="15.75" customHeight="1">
      <c r="B349" s="3"/>
      <c r="C349" s="3"/>
    </row>
    <row r="350" ht="15.75" customHeight="1">
      <c r="B350" s="3"/>
      <c r="C350" s="3"/>
    </row>
    <row r="351" ht="15.75" customHeight="1">
      <c r="B351" s="3"/>
      <c r="C351" s="3"/>
    </row>
    <row r="352" ht="15.75" customHeight="1">
      <c r="B352" s="3"/>
      <c r="C352" s="3"/>
    </row>
    <row r="353" ht="15.75" customHeight="1">
      <c r="B353" s="3"/>
      <c r="C353" s="3"/>
    </row>
    <row r="354" ht="15.75" customHeight="1">
      <c r="B354" s="3"/>
      <c r="C354" s="3"/>
    </row>
    <row r="355" ht="15.75" customHeight="1">
      <c r="B355" s="3"/>
      <c r="C355" s="3"/>
    </row>
    <row r="356" ht="15.75" customHeight="1">
      <c r="B356" s="3"/>
      <c r="C356" s="3"/>
    </row>
    <row r="357" ht="15.75" customHeight="1">
      <c r="B357" s="3"/>
      <c r="C357" s="3"/>
    </row>
    <row r="358" ht="15.75" customHeight="1">
      <c r="B358" s="3"/>
      <c r="C358" s="3"/>
    </row>
    <row r="359" ht="15.75" customHeight="1">
      <c r="B359" s="3"/>
      <c r="C359" s="3"/>
    </row>
    <row r="360" ht="15.75" customHeight="1">
      <c r="B360" s="3"/>
      <c r="C360" s="3"/>
    </row>
    <row r="361" ht="15.75" customHeight="1">
      <c r="B361" s="3"/>
      <c r="C361" s="3"/>
    </row>
    <row r="362" ht="15.75" customHeight="1">
      <c r="B362" s="3"/>
      <c r="C362" s="3"/>
    </row>
    <row r="363" ht="15.75" customHeight="1">
      <c r="B363" s="3"/>
      <c r="C363" s="3"/>
    </row>
    <row r="364" ht="15.75" customHeight="1">
      <c r="B364" s="3"/>
      <c r="C364" s="3"/>
    </row>
    <row r="365" ht="15.75" customHeight="1">
      <c r="B365" s="3"/>
      <c r="C365" s="3"/>
    </row>
    <row r="366" ht="15.75" customHeight="1">
      <c r="B366" s="3"/>
      <c r="C366" s="3"/>
    </row>
    <row r="367" ht="15.75" customHeight="1">
      <c r="B367" s="3"/>
      <c r="C367" s="3"/>
    </row>
    <row r="368" ht="15.75" customHeight="1">
      <c r="B368" s="3"/>
      <c r="C368" s="3"/>
    </row>
    <row r="369" ht="15.75" customHeight="1">
      <c r="B369" s="3"/>
      <c r="C369" s="3"/>
    </row>
    <row r="370" ht="15.75" customHeight="1">
      <c r="B370" s="3"/>
      <c r="C370" s="3"/>
    </row>
    <row r="371" ht="15.75" customHeight="1">
      <c r="B371" s="3"/>
      <c r="C371" s="3"/>
    </row>
    <row r="372" ht="15.75" customHeight="1">
      <c r="B372" s="3"/>
      <c r="C372" s="3"/>
    </row>
    <row r="373" ht="15.75" customHeight="1">
      <c r="B373" s="3"/>
      <c r="C373" s="3"/>
    </row>
    <row r="374" ht="15.75" customHeight="1">
      <c r="B374" s="3"/>
      <c r="C374" s="3"/>
    </row>
    <row r="375" ht="15.75" customHeight="1">
      <c r="B375" s="3"/>
      <c r="C375" s="3"/>
    </row>
    <row r="376" ht="15.75" customHeight="1">
      <c r="B376" s="3"/>
      <c r="C376" s="3"/>
    </row>
    <row r="377" ht="15.75" customHeight="1">
      <c r="B377" s="3"/>
      <c r="C377" s="3"/>
    </row>
    <row r="378" ht="15.75" customHeight="1">
      <c r="B378" s="3"/>
      <c r="C378" s="3"/>
    </row>
    <row r="379" ht="15.75" customHeight="1">
      <c r="B379" s="3"/>
      <c r="C379" s="3"/>
    </row>
    <row r="380" ht="15.75" customHeight="1">
      <c r="B380" s="3"/>
      <c r="C380" s="3"/>
    </row>
    <row r="381" ht="15.75" customHeight="1">
      <c r="B381" s="3"/>
      <c r="C381" s="3"/>
    </row>
    <row r="382" ht="15.75" customHeight="1">
      <c r="B382" s="3"/>
      <c r="C382" s="3"/>
    </row>
    <row r="383" ht="15.75" customHeight="1">
      <c r="B383" s="3"/>
      <c r="C383" s="3"/>
    </row>
    <row r="384" ht="15.75" customHeight="1">
      <c r="B384" s="3"/>
      <c r="C384" s="3"/>
    </row>
    <row r="385" ht="15.75" customHeight="1">
      <c r="B385" s="3"/>
      <c r="C385" s="3"/>
    </row>
    <row r="386" ht="15.75" customHeight="1">
      <c r="B386" s="3"/>
      <c r="C386" s="3"/>
    </row>
    <row r="387" ht="15.75" customHeight="1">
      <c r="B387" s="3"/>
      <c r="C387" s="3"/>
    </row>
    <row r="388" ht="15.75" customHeight="1">
      <c r="B388" s="3"/>
      <c r="C388" s="3"/>
    </row>
    <row r="389" ht="15.75" customHeight="1">
      <c r="B389" s="3"/>
      <c r="C389" s="3"/>
    </row>
    <row r="390" ht="15.75" customHeight="1">
      <c r="B390" s="3"/>
      <c r="C390" s="3"/>
    </row>
    <row r="391" ht="15.75" customHeight="1">
      <c r="B391" s="3"/>
      <c r="C391" s="3"/>
    </row>
    <row r="392" ht="15.75" customHeight="1">
      <c r="B392" s="3"/>
      <c r="C392" s="3"/>
    </row>
    <row r="393" ht="15.75" customHeight="1">
      <c r="B393" s="3"/>
      <c r="C393" s="3"/>
    </row>
    <row r="394" ht="15.75" customHeight="1">
      <c r="B394" s="3"/>
      <c r="C394" s="3"/>
    </row>
    <row r="395" ht="15.75" customHeight="1">
      <c r="B395" s="3"/>
      <c r="C395" s="3"/>
    </row>
    <row r="396" ht="15.75" customHeight="1">
      <c r="B396" s="3"/>
      <c r="C396" s="3"/>
    </row>
    <row r="397" ht="15.75" customHeight="1">
      <c r="B397" s="3"/>
      <c r="C397" s="3"/>
    </row>
    <row r="398" ht="15.75" customHeight="1">
      <c r="B398" s="3"/>
      <c r="C398" s="3"/>
    </row>
    <row r="399" ht="15.75" customHeight="1">
      <c r="B399" s="3"/>
      <c r="C399" s="3"/>
    </row>
    <row r="400" ht="15.75" customHeight="1">
      <c r="B400" s="3"/>
      <c r="C400" s="3"/>
    </row>
    <row r="401" ht="15.75" customHeight="1">
      <c r="B401" s="3"/>
      <c r="C401" s="3"/>
    </row>
    <row r="402" ht="15.75" customHeight="1">
      <c r="B402" s="3"/>
      <c r="C402" s="3"/>
    </row>
    <row r="403" ht="15.75" customHeight="1">
      <c r="B403" s="3"/>
      <c r="C403" s="3"/>
    </row>
    <row r="404" ht="15.75" customHeight="1">
      <c r="B404" s="3"/>
      <c r="C404" s="3"/>
    </row>
    <row r="405" ht="15.75" customHeight="1">
      <c r="B405" s="3"/>
      <c r="C405" s="3"/>
    </row>
    <row r="406" ht="15.75" customHeight="1">
      <c r="B406" s="3"/>
      <c r="C406" s="3"/>
    </row>
    <row r="407" ht="15.75" customHeight="1">
      <c r="B407" s="3"/>
      <c r="C407" s="3"/>
    </row>
    <row r="408" ht="15.75" customHeight="1">
      <c r="B408" s="3"/>
      <c r="C408" s="3"/>
    </row>
    <row r="409" ht="15.75" customHeight="1">
      <c r="B409" s="3"/>
      <c r="C409" s="3"/>
    </row>
    <row r="410" ht="15.75" customHeight="1">
      <c r="B410" s="3"/>
      <c r="C410" s="3"/>
    </row>
    <row r="411" ht="15.75" customHeight="1">
      <c r="B411" s="3"/>
      <c r="C411" s="3"/>
    </row>
    <row r="412" ht="15.75" customHeight="1">
      <c r="B412" s="3"/>
      <c r="C412" s="3"/>
    </row>
    <row r="413" ht="15.75" customHeight="1">
      <c r="B413" s="3"/>
      <c r="C413" s="3"/>
    </row>
    <row r="414" ht="15.75" customHeight="1">
      <c r="B414" s="3"/>
      <c r="C414" s="3"/>
    </row>
    <row r="415" ht="15.75" customHeight="1">
      <c r="B415" s="3"/>
      <c r="C415" s="3"/>
    </row>
    <row r="416" ht="15.75" customHeight="1">
      <c r="B416" s="3"/>
      <c r="C416" s="3"/>
    </row>
    <row r="417" ht="15.75" customHeight="1">
      <c r="B417" s="3"/>
      <c r="C417" s="3"/>
    </row>
    <row r="418" ht="15.75" customHeight="1">
      <c r="B418" s="3"/>
      <c r="C418" s="3"/>
    </row>
    <row r="419" ht="15.75" customHeight="1">
      <c r="B419" s="3"/>
      <c r="C419" s="3"/>
    </row>
    <row r="420" ht="15.75" customHeight="1">
      <c r="B420" s="3"/>
      <c r="C420" s="3"/>
    </row>
    <row r="421" ht="15.75" customHeight="1">
      <c r="B421" s="3"/>
      <c r="C421" s="3"/>
    </row>
    <row r="422" ht="15.75" customHeight="1">
      <c r="B422" s="3"/>
      <c r="C422" s="3"/>
    </row>
    <row r="423" ht="15.75" customHeight="1">
      <c r="B423" s="3"/>
      <c r="C423" s="3"/>
    </row>
    <row r="424" ht="15.75" customHeight="1">
      <c r="B424" s="3"/>
      <c r="C424" s="3"/>
    </row>
    <row r="425" ht="15.75" customHeight="1">
      <c r="B425" s="3"/>
      <c r="C425" s="3"/>
    </row>
    <row r="426" ht="15.75" customHeight="1">
      <c r="B426" s="3"/>
      <c r="C426" s="3"/>
    </row>
    <row r="427" ht="15.75" customHeight="1">
      <c r="B427" s="3"/>
      <c r="C427" s="3"/>
    </row>
    <row r="428" ht="15.75" customHeight="1">
      <c r="B428" s="3"/>
      <c r="C428" s="3"/>
    </row>
    <row r="429" ht="15.75" customHeight="1">
      <c r="B429" s="3"/>
      <c r="C429" s="3"/>
    </row>
    <row r="430" ht="15.75" customHeight="1">
      <c r="B430" s="3"/>
      <c r="C430" s="3"/>
    </row>
    <row r="431" ht="15.75" customHeight="1">
      <c r="B431" s="3"/>
      <c r="C431" s="3"/>
    </row>
    <row r="432" ht="15.75" customHeight="1">
      <c r="B432" s="3"/>
      <c r="C432" s="3"/>
    </row>
    <row r="433" ht="15.75" customHeight="1">
      <c r="B433" s="3"/>
      <c r="C433" s="3"/>
    </row>
    <row r="434" ht="15.75" customHeight="1">
      <c r="B434" s="3"/>
      <c r="C434" s="3"/>
    </row>
    <row r="435" ht="15.75" customHeight="1">
      <c r="B435" s="3"/>
      <c r="C435" s="3"/>
    </row>
    <row r="436" ht="15.75" customHeight="1">
      <c r="B436" s="3"/>
      <c r="C436" s="3"/>
    </row>
    <row r="437" ht="15.75" customHeight="1">
      <c r="B437" s="3"/>
      <c r="C437" s="3"/>
    </row>
    <row r="438" ht="15.75" customHeight="1">
      <c r="B438" s="3"/>
      <c r="C438" s="3"/>
    </row>
    <row r="439" ht="15.75" customHeight="1">
      <c r="B439" s="3"/>
      <c r="C439" s="3"/>
    </row>
    <row r="440" ht="15.75" customHeight="1">
      <c r="B440" s="3"/>
      <c r="C440" s="3"/>
    </row>
    <row r="441" ht="15.75" customHeight="1">
      <c r="B441" s="3"/>
      <c r="C441" s="3"/>
    </row>
    <row r="442" ht="15.75" customHeight="1">
      <c r="B442" s="3"/>
      <c r="C442" s="3"/>
    </row>
    <row r="443" ht="15.75" customHeight="1">
      <c r="B443" s="3"/>
      <c r="C443" s="3"/>
    </row>
    <row r="444" ht="15.75" customHeight="1">
      <c r="B444" s="3"/>
      <c r="C444" s="3"/>
    </row>
    <row r="445" ht="15.75" customHeight="1">
      <c r="B445" s="3"/>
      <c r="C445" s="3"/>
    </row>
    <row r="446" ht="15.75" customHeight="1">
      <c r="B446" s="3"/>
      <c r="C446" s="3"/>
    </row>
    <row r="447" ht="15.75" customHeight="1">
      <c r="B447" s="3"/>
      <c r="C447" s="3"/>
    </row>
    <row r="448" ht="15.75" customHeight="1">
      <c r="B448" s="3"/>
      <c r="C448" s="3"/>
    </row>
    <row r="449" ht="15.75" customHeight="1">
      <c r="B449" s="3"/>
      <c r="C449" s="3"/>
    </row>
    <row r="450" ht="15.75" customHeight="1">
      <c r="B450" s="3"/>
      <c r="C450" s="3"/>
    </row>
    <row r="451" ht="15.75" customHeight="1">
      <c r="B451" s="3"/>
      <c r="C451" s="3"/>
    </row>
    <row r="452" ht="15.75" customHeight="1">
      <c r="B452" s="3"/>
      <c r="C452" s="3"/>
    </row>
    <row r="453" ht="15.75" customHeight="1">
      <c r="B453" s="3"/>
      <c r="C453" s="3"/>
    </row>
    <row r="454" ht="15.75" customHeight="1">
      <c r="B454" s="3"/>
      <c r="C454" s="3"/>
    </row>
    <row r="455" ht="15.75" customHeight="1">
      <c r="B455" s="3"/>
      <c r="C455" s="3"/>
    </row>
    <row r="456" ht="15.75" customHeight="1">
      <c r="B456" s="3"/>
      <c r="C456" s="3"/>
    </row>
    <row r="457" ht="15.75" customHeight="1">
      <c r="B457" s="3"/>
      <c r="C457" s="3"/>
    </row>
    <row r="458" ht="15.75" customHeight="1">
      <c r="B458" s="3"/>
      <c r="C458" s="3"/>
    </row>
    <row r="459" ht="15.75" customHeight="1">
      <c r="B459" s="3"/>
      <c r="C459" s="3"/>
    </row>
    <row r="460" ht="15.75" customHeight="1">
      <c r="B460" s="3"/>
      <c r="C460" s="3"/>
    </row>
    <row r="461" ht="15.75" customHeight="1">
      <c r="B461" s="3"/>
      <c r="C461" s="3"/>
    </row>
    <row r="462" ht="15.75" customHeight="1">
      <c r="B462" s="3"/>
      <c r="C462" s="3"/>
    </row>
    <row r="463" ht="15.75" customHeight="1">
      <c r="B463" s="3"/>
      <c r="C463" s="3"/>
    </row>
    <row r="464" ht="15.75" customHeight="1">
      <c r="B464" s="3"/>
      <c r="C464" s="3"/>
    </row>
    <row r="465" ht="15.75" customHeight="1">
      <c r="B465" s="3"/>
      <c r="C465" s="3"/>
    </row>
    <row r="466" ht="15.75" customHeight="1">
      <c r="B466" s="3"/>
      <c r="C466" s="3"/>
    </row>
    <row r="467" ht="15.75" customHeight="1">
      <c r="B467" s="3"/>
      <c r="C467" s="3"/>
    </row>
    <row r="468" ht="15.75" customHeight="1">
      <c r="B468" s="3"/>
      <c r="C468" s="3"/>
    </row>
    <row r="469" ht="15.75" customHeight="1">
      <c r="B469" s="3"/>
      <c r="C469" s="3"/>
    </row>
    <row r="470" ht="15.75" customHeight="1">
      <c r="B470" s="3"/>
      <c r="C470" s="3"/>
    </row>
    <row r="471" ht="15.75" customHeight="1">
      <c r="B471" s="3"/>
      <c r="C471" s="3"/>
    </row>
    <row r="472" ht="15.75" customHeight="1">
      <c r="B472" s="3"/>
      <c r="C472" s="3"/>
    </row>
    <row r="473" ht="15.75" customHeight="1">
      <c r="B473" s="3"/>
      <c r="C473" s="3"/>
    </row>
    <row r="474" ht="15.75" customHeight="1">
      <c r="B474" s="3"/>
      <c r="C474" s="3"/>
    </row>
    <row r="475" ht="15.75" customHeight="1">
      <c r="B475" s="3"/>
      <c r="C475" s="3"/>
    </row>
    <row r="476" ht="15.75" customHeight="1">
      <c r="B476" s="3"/>
      <c r="C476" s="3"/>
    </row>
    <row r="477" ht="15.75" customHeight="1">
      <c r="B477" s="3"/>
      <c r="C477" s="3"/>
    </row>
    <row r="478" ht="15.75" customHeight="1">
      <c r="B478" s="3"/>
      <c r="C478" s="3"/>
    </row>
    <row r="479" ht="15.75" customHeight="1">
      <c r="B479" s="3"/>
      <c r="C479" s="3"/>
    </row>
    <row r="480" ht="15.75" customHeight="1">
      <c r="B480" s="3"/>
      <c r="C480" s="3"/>
    </row>
    <row r="481" ht="15.75" customHeight="1">
      <c r="B481" s="3"/>
      <c r="C481" s="3"/>
    </row>
    <row r="482" ht="15.75" customHeight="1">
      <c r="B482" s="3"/>
      <c r="C482" s="3"/>
    </row>
    <row r="483" ht="15.75" customHeight="1">
      <c r="B483" s="3"/>
      <c r="C483" s="3"/>
    </row>
    <row r="484" ht="15.75" customHeight="1">
      <c r="B484" s="3"/>
      <c r="C484" s="3"/>
    </row>
    <row r="485" ht="15.75" customHeight="1">
      <c r="B485" s="3"/>
      <c r="C485" s="3"/>
    </row>
    <row r="486" ht="15.75" customHeight="1">
      <c r="B486" s="3"/>
      <c r="C486" s="3"/>
    </row>
    <row r="487" ht="15.75" customHeight="1">
      <c r="B487" s="3"/>
      <c r="C487" s="3"/>
    </row>
    <row r="488" ht="15.75" customHeight="1">
      <c r="B488" s="3"/>
      <c r="C488" s="3"/>
    </row>
    <row r="489" ht="15.75" customHeight="1">
      <c r="B489" s="3"/>
      <c r="C489" s="3"/>
    </row>
    <row r="490" ht="15.75" customHeight="1">
      <c r="B490" s="3"/>
      <c r="C490" s="3"/>
    </row>
    <row r="491" ht="15.75" customHeight="1">
      <c r="B491" s="3"/>
      <c r="C491" s="3"/>
    </row>
    <row r="492" ht="15.75" customHeight="1">
      <c r="B492" s="3"/>
      <c r="C492" s="3"/>
    </row>
    <row r="493" ht="15.75" customHeight="1">
      <c r="B493" s="3"/>
      <c r="C493" s="3"/>
    </row>
    <row r="494" ht="15.75" customHeight="1">
      <c r="B494" s="3"/>
      <c r="C494" s="3"/>
    </row>
    <row r="495" ht="15.75" customHeight="1">
      <c r="B495" s="3"/>
      <c r="C495" s="3"/>
    </row>
    <row r="496" ht="15.75" customHeight="1">
      <c r="B496" s="3"/>
      <c r="C496" s="3"/>
    </row>
    <row r="497" ht="15.75" customHeight="1">
      <c r="B497" s="3"/>
      <c r="C497" s="3"/>
    </row>
    <row r="498" ht="15.75" customHeight="1">
      <c r="B498" s="3"/>
      <c r="C498" s="3"/>
    </row>
    <row r="499" ht="15.75" customHeight="1">
      <c r="B499" s="3"/>
      <c r="C499" s="3"/>
    </row>
    <row r="500" ht="15.75" customHeight="1">
      <c r="B500" s="3"/>
      <c r="C500" s="3"/>
    </row>
    <row r="501" ht="15.75" customHeight="1">
      <c r="B501" s="3"/>
      <c r="C501" s="3"/>
    </row>
    <row r="502" ht="15.75" customHeight="1">
      <c r="B502" s="3"/>
      <c r="C502" s="3"/>
    </row>
    <row r="503" ht="15.75" customHeight="1">
      <c r="B503" s="3"/>
      <c r="C503" s="3"/>
    </row>
    <row r="504" ht="15.75" customHeight="1">
      <c r="B504" s="3"/>
      <c r="C504" s="3"/>
    </row>
    <row r="505" ht="15.75" customHeight="1">
      <c r="B505" s="3"/>
      <c r="C505" s="3"/>
    </row>
    <row r="506" ht="15.75" customHeight="1">
      <c r="B506" s="3"/>
      <c r="C506" s="3"/>
    </row>
    <row r="507" ht="15.75" customHeight="1">
      <c r="B507" s="3"/>
      <c r="C507" s="3"/>
    </row>
    <row r="508" ht="15.75" customHeight="1">
      <c r="B508" s="3"/>
      <c r="C508" s="3"/>
    </row>
    <row r="509" ht="15.75" customHeight="1">
      <c r="B509" s="3"/>
      <c r="C509" s="3"/>
    </row>
    <row r="510" ht="15.75" customHeight="1">
      <c r="B510" s="3"/>
      <c r="C510" s="3"/>
    </row>
    <row r="511" ht="15.75" customHeight="1">
      <c r="B511" s="3"/>
      <c r="C511" s="3"/>
    </row>
    <row r="512" ht="15.75" customHeight="1">
      <c r="B512" s="3"/>
      <c r="C512" s="3"/>
    </row>
    <row r="513" ht="15.75" customHeight="1">
      <c r="B513" s="3"/>
      <c r="C513" s="3"/>
    </row>
    <row r="514" ht="15.75" customHeight="1">
      <c r="B514" s="3"/>
      <c r="C514" s="3"/>
    </row>
    <row r="515" ht="15.75" customHeight="1">
      <c r="B515" s="3"/>
      <c r="C515" s="3"/>
    </row>
    <row r="516" ht="15.75" customHeight="1">
      <c r="B516" s="3"/>
      <c r="C516" s="3"/>
    </row>
    <row r="517" ht="15.75" customHeight="1">
      <c r="B517" s="3"/>
      <c r="C517" s="3"/>
    </row>
    <row r="518" ht="15.75" customHeight="1">
      <c r="B518" s="3"/>
      <c r="C518" s="3"/>
    </row>
    <row r="519" ht="15.75" customHeight="1">
      <c r="B519" s="3"/>
      <c r="C519" s="3"/>
    </row>
    <row r="520" ht="15.75" customHeight="1">
      <c r="B520" s="3"/>
      <c r="C520" s="3"/>
    </row>
    <row r="521" ht="15.75" customHeight="1">
      <c r="B521" s="3"/>
      <c r="C521" s="3"/>
    </row>
    <row r="522" ht="15.75" customHeight="1">
      <c r="B522" s="3"/>
      <c r="C522" s="3"/>
    </row>
    <row r="523" ht="15.75" customHeight="1">
      <c r="B523" s="3"/>
      <c r="C523" s="3"/>
    </row>
    <row r="524" ht="15.75" customHeight="1">
      <c r="B524" s="3"/>
      <c r="C524" s="3"/>
    </row>
    <row r="525" ht="15.75" customHeight="1">
      <c r="B525" s="3"/>
      <c r="C525" s="3"/>
    </row>
    <row r="526" ht="15.75" customHeight="1">
      <c r="B526" s="3"/>
      <c r="C526" s="3"/>
    </row>
    <row r="527" ht="15.75" customHeight="1">
      <c r="B527" s="3"/>
      <c r="C527" s="3"/>
    </row>
    <row r="528" ht="15.75" customHeight="1">
      <c r="B528" s="3"/>
      <c r="C528" s="3"/>
    </row>
    <row r="529" ht="15.75" customHeight="1">
      <c r="B529" s="3"/>
      <c r="C529" s="3"/>
    </row>
    <row r="530" ht="15.75" customHeight="1">
      <c r="B530" s="3"/>
      <c r="C530" s="3"/>
    </row>
    <row r="531" ht="15.75" customHeight="1">
      <c r="B531" s="3"/>
      <c r="C531" s="3"/>
    </row>
    <row r="532" ht="15.75" customHeight="1">
      <c r="B532" s="3"/>
      <c r="C532" s="3"/>
    </row>
    <row r="533" ht="15.75" customHeight="1">
      <c r="B533" s="3"/>
      <c r="C533" s="3"/>
    </row>
    <row r="534" ht="15.75" customHeight="1">
      <c r="B534" s="3"/>
      <c r="C534" s="3"/>
    </row>
    <row r="535" ht="15.75" customHeight="1">
      <c r="B535" s="3"/>
      <c r="C535" s="3"/>
    </row>
    <row r="536" ht="15.75" customHeight="1">
      <c r="B536" s="3"/>
      <c r="C536" s="3"/>
    </row>
    <row r="537" ht="15.75" customHeight="1">
      <c r="B537" s="3"/>
      <c r="C537" s="3"/>
    </row>
    <row r="538" ht="15.75" customHeight="1">
      <c r="B538" s="3"/>
      <c r="C538" s="3"/>
    </row>
    <row r="539" ht="15.75" customHeight="1">
      <c r="B539" s="3"/>
      <c r="C539" s="3"/>
    </row>
    <row r="540" ht="15.75" customHeight="1">
      <c r="B540" s="3"/>
      <c r="C540" s="3"/>
    </row>
    <row r="541" ht="15.75" customHeight="1">
      <c r="B541" s="3"/>
      <c r="C541" s="3"/>
    </row>
    <row r="542" ht="15.75" customHeight="1">
      <c r="B542" s="3"/>
      <c r="C542" s="3"/>
    </row>
    <row r="543" ht="15.75" customHeight="1">
      <c r="B543" s="3"/>
      <c r="C543" s="3"/>
    </row>
    <row r="544" ht="15.75" customHeight="1">
      <c r="B544" s="3"/>
      <c r="C544" s="3"/>
    </row>
    <row r="545" ht="15.75" customHeight="1">
      <c r="B545" s="3"/>
      <c r="C545" s="3"/>
    </row>
    <row r="546" ht="15.75" customHeight="1">
      <c r="B546" s="3"/>
      <c r="C546" s="3"/>
    </row>
    <row r="547" ht="15.75" customHeight="1">
      <c r="B547" s="3"/>
      <c r="C547" s="3"/>
    </row>
    <row r="548" ht="15.75" customHeight="1">
      <c r="B548" s="3"/>
      <c r="C548" s="3"/>
    </row>
    <row r="549" ht="15.75" customHeight="1">
      <c r="B549" s="3"/>
      <c r="C549" s="3"/>
    </row>
    <row r="550" ht="15.75" customHeight="1">
      <c r="B550" s="3"/>
      <c r="C550" s="3"/>
    </row>
    <row r="551" ht="15.75" customHeight="1">
      <c r="B551" s="3"/>
      <c r="C551" s="3"/>
    </row>
    <row r="552" ht="15.75" customHeight="1">
      <c r="B552" s="3"/>
      <c r="C552" s="3"/>
    </row>
    <row r="553" ht="15.75" customHeight="1">
      <c r="B553" s="3"/>
      <c r="C553" s="3"/>
    </row>
    <row r="554" ht="15.75" customHeight="1">
      <c r="B554" s="3"/>
      <c r="C554" s="3"/>
    </row>
    <row r="555" ht="15.75" customHeight="1">
      <c r="B555" s="3"/>
      <c r="C555" s="3"/>
    </row>
    <row r="556" ht="15.75" customHeight="1">
      <c r="B556" s="3"/>
      <c r="C556" s="3"/>
    </row>
    <row r="557" ht="15.75" customHeight="1">
      <c r="B557" s="3"/>
      <c r="C557" s="3"/>
    </row>
    <row r="558" ht="15.75" customHeight="1">
      <c r="B558" s="3"/>
      <c r="C558" s="3"/>
    </row>
    <row r="559" ht="15.75" customHeight="1">
      <c r="B559" s="3"/>
      <c r="C559" s="3"/>
    </row>
    <row r="560" ht="15.75" customHeight="1">
      <c r="B560" s="3"/>
      <c r="C560" s="3"/>
    </row>
    <row r="561" ht="15.75" customHeight="1">
      <c r="B561" s="3"/>
      <c r="C561" s="3"/>
    </row>
    <row r="562" ht="15.75" customHeight="1">
      <c r="B562" s="3"/>
      <c r="C562" s="3"/>
    </row>
    <row r="563" ht="15.75" customHeight="1">
      <c r="B563" s="3"/>
      <c r="C563" s="3"/>
    </row>
    <row r="564" ht="15.75" customHeight="1">
      <c r="B564" s="3"/>
      <c r="C564" s="3"/>
    </row>
    <row r="565" ht="15.75" customHeight="1">
      <c r="B565" s="3"/>
      <c r="C565" s="3"/>
    </row>
    <row r="566" ht="15.75" customHeight="1">
      <c r="B566" s="3"/>
      <c r="C566" s="3"/>
    </row>
    <row r="567" ht="15.75" customHeight="1">
      <c r="B567" s="3"/>
      <c r="C567" s="3"/>
    </row>
    <row r="568" ht="15.75" customHeight="1">
      <c r="B568" s="3"/>
      <c r="C568" s="3"/>
    </row>
    <row r="569" ht="15.75" customHeight="1">
      <c r="B569" s="3"/>
      <c r="C569" s="3"/>
    </row>
    <row r="570" ht="15.75" customHeight="1">
      <c r="B570" s="3"/>
      <c r="C570" s="3"/>
    </row>
    <row r="571" ht="15.75" customHeight="1">
      <c r="B571" s="3"/>
      <c r="C571" s="3"/>
    </row>
    <row r="572" ht="15.75" customHeight="1">
      <c r="B572" s="3"/>
      <c r="C572" s="3"/>
    </row>
    <row r="573" ht="15.75" customHeight="1">
      <c r="B573" s="3"/>
      <c r="C573" s="3"/>
    </row>
    <row r="574" ht="15.75" customHeight="1">
      <c r="B574" s="3"/>
      <c r="C574" s="3"/>
    </row>
    <row r="575" ht="15.75" customHeight="1">
      <c r="B575" s="3"/>
      <c r="C575" s="3"/>
    </row>
    <row r="576" ht="15.75" customHeight="1">
      <c r="B576" s="3"/>
      <c r="C576" s="3"/>
    </row>
    <row r="577" ht="15.75" customHeight="1">
      <c r="B577" s="3"/>
      <c r="C577" s="3"/>
    </row>
    <row r="578" ht="15.75" customHeight="1">
      <c r="B578" s="3"/>
      <c r="C578" s="3"/>
    </row>
    <row r="579" ht="15.75" customHeight="1">
      <c r="B579" s="3"/>
      <c r="C579" s="3"/>
    </row>
    <row r="580" ht="15.75" customHeight="1">
      <c r="B580" s="3"/>
      <c r="C580" s="3"/>
    </row>
    <row r="581" ht="15.75" customHeight="1">
      <c r="B581" s="3"/>
      <c r="C581" s="3"/>
    </row>
    <row r="582" ht="15.75" customHeight="1">
      <c r="B582" s="3"/>
      <c r="C582" s="3"/>
    </row>
    <row r="583" ht="15.75" customHeight="1">
      <c r="B583" s="3"/>
      <c r="C583" s="3"/>
    </row>
    <row r="584" ht="15.75" customHeight="1">
      <c r="B584" s="3"/>
      <c r="C584" s="3"/>
    </row>
    <row r="585" ht="15.75" customHeight="1">
      <c r="B585" s="3"/>
      <c r="C585" s="3"/>
    </row>
    <row r="586" ht="15.75" customHeight="1">
      <c r="B586" s="3"/>
      <c r="C586" s="3"/>
    </row>
    <row r="587" ht="15.75" customHeight="1">
      <c r="B587" s="3"/>
      <c r="C587" s="3"/>
    </row>
    <row r="588" ht="15.75" customHeight="1">
      <c r="B588" s="3"/>
      <c r="C588" s="3"/>
    </row>
    <row r="589" ht="15.75" customHeight="1">
      <c r="B589" s="3"/>
      <c r="C589" s="3"/>
    </row>
    <row r="590" ht="15.75" customHeight="1">
      <c r="B590" s="3"/>
      <c r="C590" s="3"/>
    </row>
    <row r="591" ht="15.75" customHeight="1">
      <c r="B591" s="3"/>
      <c r="C591" s="3"/>
    </row>
    <row r="592" ht="15.75" customHeight="1">
      <c r="B592" s="3"/>
      <c r="C592" s="3"/>
    </row>
    <row r="593" ht="15.75" customHeight="1">
      <c r="B593" s="3"/>
      <c r="C593" s="3"/>
    </row>
    <row r="594" ht="15.75" customHeight="1">
      <c r="B594" s="3"/>
      <c r="C594" s="3"/>
    </row>
    <row r="595" ht="15.75" customHeight="1">
      <c r="B595" s="3"/>
      <c r="C595" s="3"/>
    </row>
    <row r="596" ht="15.75" customHeight="1">
      <c r="B596" s="3"/>
      <c r="C596" s="3"/>
    </row>
    <row r="597" ht="15.75" customHeight="1">
      <c r="B597" s="3"/>
      <c r="C597" s="3"/>
    </row>
    <row r="598" ht="15.75" customHeight="1">
      <c r="B598" s="3"/>
      <c r="C598" s="3"/>
    </row>
    <row r="599" ht="15.75" customHeight="1">
      <c r="B599" s="3"/>
      <c r="C599" s="3"/>
    </row>
    <row r="600" ht="15.75" customHeight="1">
      <c r="B600" s="3"/>
      <c r="C600" s="3"/>
    </row>
    <row r="601" ht="15.75" customHeight="1">
      <c r="B601" s="3"/>
      <c r="C601" s="3"/>
    </row>
    <row r="602" ht="15.75" customHeight="1">
      <c r="B602" s="3"/>
      <c r="C602" s="3"/>
    </row>
    <row r="603" ht="15.75" customHeight="1">
      <c r="B603" s="3"/>
      <c r="C603" s="3"/>
    </row>
    <row r="604" ht="15.75" customHeight="1">
      <c r="B604" s="3"/>
      <c r="C604" s="3"/>
    </row>
    <row r="605" ht="15.75" customHeight="1">
      <c r="B605" s="3"/>
      <c r="C605" s="3"/>
    </row>
    <row r="606" ht="15.75" customHeight="1">
      <c r="B606" s="3"/>
      <c r="C606" s="3"/>
    </row>
    <row r="607" ht="15.75" customHeight="1">
      <c r="B607" s="3"/>
      <c r="C607" s="3"/>
    </row>
    <row r="608" ht="15.75" customHeight="1">
      <c r="B608" s="3"/>
      <c r="C608" s="3"/>
    </row>
    <row r="609" ht="15.75" customHeight="1">
      <c r="B609" s="3"/>
      <c r="C609" s="3"/>
    </row>
    <row r="610" ht="15.75" customHeight="1">
      <c r="B610" s="3"/>
      <c r="C610" s="3"/>
    </row>
    <row r="611" ht="15.75" customHeight="1">
      <c r="B611" s="3"/>
      <c r="C611" s="3"/>
    </row>
    <row r="612" ht="15.75" customHeight="1">
      <c r="B612" s="3"/>
      <c r="C612" s="3"/>
    </row>
    <row r="613" ht="15.75" customHeight="1">
      <c r="B613" s="3"/>
      <c r="C613" s="3"/>
    </row>
    <row r="614" ht="15.75" customHeight="1">
      <c r="B614" s="3"/>
      <c r="C614" s="3"/>
    </row>
    <row r="615" ht="15.75" customHeight="1">
      <c r="B615" s="3"/>
      <c r="C615" s="3"/>
    </row>
    <row r="616" ht="15.75" customHeight="1">
      <c r="B616" s="3"/>
      <c r="C616" s="3"/>
    </row>
    <row r="617" ht="15.75" customHeight="1">
      <c r="B617" s="3"/>
      <c r="C617" s="3"/>
    </row>
    <row r="618" ht="15.75" customHeight="1">
      <c r="B618" s="3"/>
      <c r="C618" s="3"/>
    </row>
    <row r="619" ht="15.75" customHeight="1">
      <c r="B619" s="3"/>
      <c r="C619" s="3"/>
    </row>
    <row r="620" ht="15.75" customHeight="1">
      <c r="B620" s="3"/>
      <c r="C620" s="3"/>
    </row>
    <row r="621" ht="15.75" customHeight="1">
      <c r="B621" s="3"/>
      <c r="C621" s="3"/>
    </row>
    <row r="622" ht="15.75" customHeight="1">
      <c r="B622" s="3"/>
      <c r="C622" s="3"/>
    </row>
    <row r="623" ht="15.75" customHeight="1">
      <c r="B623" s="3"/>
      <c r="C623" s="3"/>
    </row>
    <row r="624" ht="15.75" customHeight="1">
      <c r="B624" s="3"/>
      <c r="C624" s="3"/>
    </row>
    <row r="625" ht="15.75" customHeight="1">
      <c r="B625" s="3"/>
      <c r="C625" s="3"/>
    </row>
    <row r="626" ht="15.75" customHeight="1">
      <c r="B626" s="3"/>
      <c r="C626" s="3"/>
    </row>
    <row r="627" ht="15.75" customHeight="1">
      <c r="B627" s="3"/>
      <c r="C627" s="3"/>
    </row>
    <row r="628" ht="15.75" customHeight="1">
      <c r="B628" s="3"/>
      <c r="C628" s="3"/>
    </row>
    <row r="629" ht="15.75" customHeight="1">
      <c r="B629" s="3"/>
      <c r="C629" s="3"/>
    </row>
    <row r="630" ht="15.75" customHeight="1">
      <c r="B630" s="3"/>
      <c r="C630" s="3"/>
    </row>
    <row r="631" ht="15.75" customHeight="1">
      <c r="B631" s="3"/>
      <c r="C631" s="3"/>
    </row>
    <row r="632" ht="15.75" customHeight="1">
      <c r="B632" s="3"/>
      <c r="C632" s="3"/>
    </row>
    <row r="633" ht="15.75" customHeight="1">
      <c r="B633" s="3"/>
      <c r="C633" s="3"/>
    </row>
    <row r="634" ht="15.75" customHeight="1">
      <c r="B634" s="3"/>
      <c r="C634" s="3"/>
    </row>
    <row r="635" ht="15.75" customHeight="1">
      <c r="B635" s="3"/>
      <c r="C635" s="3"/>
    </row>
    <row r="636" ht="15.75" customHeight="1">
      <c r="B636" s="3"/>
      <c r="C636" s="3"/>
    </row>
    <row r="637" ht="15.75" customHeight="1">
      <c r="B637" s="3"/>
      <c r="C637" s="3"/>
    </row>
    <row r="638" ht="15.75" customHeight="1">
      <c r="B638" s="3"/>
      <c r="C638" s="3"/>
    </row>
    <row r="639" ht="15.75" customHeight="1">
      <c r="B639" s="3"/>
      <c r="C639" s="3"/>
    </row>
    <row r="640" ht="15.75" customHeight="1">
      <c r="B640" s="3"/>
      <c r="C640" s="3"/>
    </row>
    <row r="641" ht="15.75" customHeight="1">
      <c r="B641" s="3"/>
      <c r="C641" s="3"/>
    </row>
    <row r="642" ht="15.75" customHeight="1">
      <c r="B642" s="3"/>
      <c r="C642" s="3"/>
    </row>
    <row r="643" ht="15.75" customHeight="1">
      <c r="B643" s="3"/>
      <c r="C643" s="3"/>
    </row>
    <row r="644" ht="15.75" customHeight="1">
      <c r="B644" s="3"/>
      <c r="C644" s="3"/>
    </row>
    <row r="645" ht="15.75" customHeight="1">
      <c r="B645" s="3"/>
      <c r="C645" s="3"/>
    </row>
    <row r="646" ht="15.75" customHeight="1">
      <c r="B646" s="3"/>
      <c r="C646" s="3"/>
    </row>
    <row r="647" ht="15.75" customHeight="1">
      <c r="B647" s="3"/>
      <c r="C647" s="3"/>
    </row>
    <row r="648" ht="15.75" customHeight="1">
      <c r="B648" s="3"/>
      <c r="C648" s="3"/>
    </row>
    <row r="649" ht="15.75" customHeight="1">
      <c r="B649" s="3"/>
      <c r="C649" s="3"/>
    </row>
    <row r="650" ht="15.75" customHeight="1">
      <c r="B650" s="3"/>
      <c r="C650" s="3"/>
    </row>
    <row r="651" ht="15.75" customHeight="1">
      <c r="B651" s="3"/>
      <c r="C651" s="3"/>
    </row>
    <row r="652" ht="15.75" customHeight="1">
      <c r="B652" s="3"/>
      <c r="C652" s="3"/>
    </row>
    <row r="653" ht="15.75" customHeight="1">
      <c r="B653" s="3"/>
      <c r="C653" s="3"/>
    </row>
    <row r="654" ht="15.75" customHeight="1">
      <c r="B654" s="3"/>
      <c r="C654" s="3"/>
    </row>
    <row r="655" ht="15.75" customHeight="1">
      <c r="B655" s="3"/>
      <c r="C655" s="3"/>
    </row>
    <row r="656" ht="15.75" customHeight="1">
      <c r="B656" s="3"/>
      <c r="C656" s="3"/>
    </row>
    <row r="657" ht="15.75" customHeight="1">
      <c r="B657" s="3"/>
      <c r="C657" s="3"/>
    </row>
    <row r="658" ht="15.75" customHeight="1">
      <c r="B658" s="3"/>
      <c r="C658" s="3"/>
    </row>
    <row r="659" ht="15.75" customHeight="1">
      <c r="B659" s="3"/>
      <c r="C659" s="3"/>
    </row>
    <row r="660" ht="15.75" customHeight="1">
      <c r="B660" s="3"/>
      <c r="C660" s="3"/>
    </row>
    <row r="661" ht="15.75" customHeight="1">
      <c r="B661" s="3"/>
      <c r="C661" s="3"/>
    </row>
    <row r="662" ht="15.75" customHeight="1">
      <c r="B662" s="3"/>
      <c r="C662" s="3"/>
    </row>
    <row r="663" ht="15.75" customHeight="1">
      <c r="B663" s="3"/>
      <c r="C663" s="3"/>
    </row>
    <row r="664" ht="15.75" customHeight="1">
      <c r="B664" s="3"/>
      <c r="C664" s="3"/>
    </row>
    <row r="665" ht="15.75" customHeight="1">
      <c r="B665" s="3"/>
      <c r="C665" s="3"/>
    </row>
    <row r="666" ht="15.75" customHeight="1">
      <c r="B666" s="3"/>
      <c r="C666" s="3"/>
    </row>
    <row r="667" ht="15.75" customHeight="1">
      <c r="B667" s="3"/>
      <c r="C667" s="3"/>
    </row>
    <row r="668" ht="15.75" customHeight="1">
      <c r="B668" s="3"/>
      <c r="C668" s="3"/>
    </row>
    <row r="669" ht="15.75" customHeight="1">
      <c r="B669" s="3"/>
      <c r="C669" s="3"/>
    </row>
    <row r="670" ht="15.75" customHeight="1">
      <c r="B670" s="3"/>
      <c r="C670" s="3"/>
    </row>
    <row r="671" ht="15.75" customHeight="1">
      <c r="B671" s="3"/>
      <c r="C671" s="3"/>
    </row>
    <row r="672" ht="15.75" customHeight="1">
      <c r="B672" s="3"/>
      <c r="C672" s="3"/>
    </row>
    <row r="673" ht="15.75" customHeight="1">
      <c r="B673" s="3"/>
      <c r="C673" s="3"/>
    </row>
    <row r="674" ht="15.75" customHeight="1">
      <c r="B674" s="3"/>
      <c r="C674" s="3"/>
    </row>
    <row r="675" ht="15.75" customHeight="1">
      <c r="B675" s="3"/>
      <c r="C675" s="3"/>
    </row>
    <row r="676" ht="15.75" customHeight="1">
      <c r="B676" s="3"/>
      <c r="C676" s="3"/>
    </row>
    <row r="677" ht="15.75" customHeight="1">
      <c r="B677" s="3"/>
      <c r="C677" s="3"/>
    </row>
    <row r="678" ht="15.75" customHeight="1">
      <c r="B678" s="3"/>
      <c r="C678" s="3"/>
    </row>
    <row r="679" ht="15.75" customHeight="1">
      <c r="B679" s="3"/>
      <c r="C679" s="3"/>
    </row>
    <row r="680" ht="15.75" customHeight="1">
      <c r="B680" s="3"/>
      <c r="C680" s="3"/>
    </row>
    <row r="681" ht="15.75" customHeight="1">
      <c r="B681" s="3"/>
      <c r="C681" s="3"/>
    </row>
    <row r="682" ht="15.75" customHeight="1">
      <c r="B682" s="3"/>
      <c r="C682" s="3"/>
    </row>
    <row r="683" ht="15.75" customHeight="1">
      <c r="B683" s="3"/>
      <c r="C683" s="3"/>
    </row>
    <row r="684" ht="15.75" customHeight="1">
      <c r="B684" s="3"/>
      <c r="C684" s="3"/>
    </row>
    <row r="685" ht="15.75" customHeight="1">
      <c r="B685" s="3"/>
      <c r="C685" s="3"/>
    </row>
    <row r="686" ht="15.75" customHeight="1">
      <c r="B686" s="3"/>
      <c r="C686" s="3"/>
    </row>
    <row r="687" ht="15.75" customHeight="1">
      <c r="B687" s="3"/>
      <c r="C687" s="3"/>
    </row>
    <row r="688" ht="15.75" customHeight="1">
      <c r="B688" s="3"/>
      <c r="C688" s="3"/>
    </row>
    <row r="689" ht="15.75" customHeight="1">
      <c r="B689" s="3"/>
      <c r="C689" s="3"/>
    </row>
    <row r="690" ht="15.75" customHeight="1">
      <c r="B690" s="3"/>
      <c r="C690" s="3"/>
    </row>
    <row r="691" ht="15.75" customHeight="1">
      <c r="B691" s="3"/>
      <c r="C691" s="3"/>
    </row>
    <row r="692" ht="15.75" customHeight="1">
      <c r="B692" s="3"/>
      <c r="C692" s="3"/>
    </row>
    <row r="693" ht="15.75" customHeight="1">
      <c r="B693" s="3"/>
      <c r="C693" s="3"/>
    </row>
    <row r="694" ht="15.75" customHeight="1">
      <c r="B694" s="3"/>
      <c r="C694" s="3"/>
    </row>
    <row r="695" ht="15.75" customHeight="1">
      <c r="B695" s="3"/>
      <c r="C695" s="3"/>
    </row>
    <row r="696" ht="15.75" customHeight="1">
      <c r="B696" s="3"/>
      <c r="C696" s="3"/>
    </row>
    <row r="697" ht="15.75" customHeight="1">
      <c r="B697" s="3"/>
      <c r="C697" s="3"/>
    </row>
    <row r="698" ht="15.75" customHeight="1">
      <c r="B698" s="3"/>
      <c r="C698" s="3"/>
    </row>
    <row r="699" ht="15.75" customHeight="1">
      <c r="B699" s="3"/>
      <c r="C699" s="3"/>
    </row>
    <row r="700" ht="15.75" customHeight="1">
      <c r="B700" s="3"/>
      <c r="C700" s="3"/>
    </row>
    <row r="701" ht="15.75" customHeight="1">
      <c r="B701" s="3"/>
      <c r="C701" s="3"/>
    </row>
    <row r="702" ht="15.75" customHeight="1">
      <c r="B702" s="3"/>
      <c r="C702" s="3"/>
    </row>
    <row r="703" ht="15.75" customHeight="1">
      <c r="B703" s="3"/>
      <c r="C703" s="3"/>
    </row>
    <row r="704" ht="15.75" customHeight="1">
      <c r="B704" s="3"/>
      <c r="C704" s="3"/>
    </row>
    <row r="705" ht="15.75" customHeight="1">
      <c r="B705" s="3"/>
      <c r="C705" s="3"/>
    </row>
    <row r="706" ht="15.75" customHeight="1">
      <c r="B706" s="3"/>
      <c r="C706" s="3"/>
    </row>
    <row r="707" ht="15.75" customHeight="1">
      <c r="B707" s="3"/>
      <c r="C707" s="3"/>
    </row>
    <row r="708" ht="15.75" customHeight="1">
      <c r="B708" s="3"/>
      <c r="C708" s="3"/>
    </row>
    <row r="709" ht="15.75" customHeight="1">
      <c r="B709" s="3"/>
      <c r="C709" s="3"/>
    </row>
    <row r="710" ht="15.75" customHeight="1">
      <c r="B710" s="3"/>
      <c r="C710" s="3"/>
    </row>
    <row r="711" ht="15.75" customHeight="1">
      <c r="B711" s="3"/>
      <c r="C711" s="3"/>
    </row>
    <row r="712" ht="15.75" customHeight="1">
      <c r="B712" s="3"/>
      <c r="C712" s="3"/>
    </row>
    <row r="713" ht="15.75" customHeight="1">
      <c r="B713" s="3"/>
      <c r="C713" s="3"/>
    </row>
    <row r="714" ht="15.75" customHeight="1">
      <c r="B714" s="3"/>
      <c r="C714" s="3"/>
    </row>
    <row r="715" ht="15.75" customHeight="1">
      <c r="B715" s="3"/>
      <c r="C715" s="3"/>
    </row>
    <row r="716" ht="15.75" customHeight="1">
      <c r="B716" s="3"/>
      <c r="C716" s="3"/>
    </row>
    <row r="717" ht="15.75" customHeight="1">
      <c r="B717" s="3"/>
      <c r="C717" s="3"/>
    </row>
    <row r="718" ht="15.75" customHeight="1">
      <c r="B718" s="3"/>
      <c r="C718" s="3"/>
    </row>
    <row r="719" ht="15.75" customHeight="1">
      <c r="B719" s="3"/>
      <c r="C719" s="3"/>
    </row>
    <row r="720" ht="15.75" customHeight="1">
      <c r="B720" s="3"/>
      <c r="C720" s="3"/>
    </row>
    <row r="721" ht="15.75" customHeight="1">
      <c r="B721" s="3"/>
      <c r="C721" s="3"/>
    </row>
    <row r="722" ht="15.75" customHeight="1">
      <c r="B722" s="3"/>
      <c r="C722" s="3"/>
    </row>
    <row r="723" ht="15.75" customHeight="1">
      <c r="B723" s="3"/>
      <c r="C723" s="3"/>
    </row>
    <row r="724" ht="15.75" customHeight="1">
      <c r="B724" s="3"/>
      <c r="C724" s="3"/>
    </row>
    <row r="725" ht="15.75" customHeight="1">
      <c r="B725" s="3"/>
      <c r="C725" s="3"/>
    </row>
    <row r="726" ht="15.75" customHeight="1">
      <c r="B726" s="3"/>
      <c r="C726" s="3"/>
    </row>
    <row r="727" ht="15.75" customHeight="1">
      <c r="B727" s="3"/>
      <c r="C727" s="3"/>
    </row>
    <row r="728" ht="15.75" customHeight="1">
      <c r="B728" s="3"/>
      <c r="C728" s="3"/>
    </row>
    <row r="729" ht="15.75" customHeight="1">
      <c r="B729" s="3"/>
      <c r="C729" s="3"/>
    </row>
    <row r="730" ht="15.75" customHeight="1">
      <c r="B730" s="3"/>
      <c r="C730" s="3"/>
    </row>
    <row r="731" ht="15.75" customHeight="1">
      <c r="B731" s="3"/>
      <c r="C731" s="3"/>
    </row>
    <row r="732" ht="15.75" customHeight="1">
      <c r="B732" s="3"/>
      <c r="C732" s="3"/>
    </row>
    <row r="733" ht="15.75" customHeight="1">
      <c r="B733" s="3"/>
      <c r="C733" s="3"/>
    </row>
    <row r="734" ht="15.75" customHeight="1">
      <c r="B734" s="3"/>
      <c r="C734" s="3"/>
    </row>
    <row r="735" ht="15.75" customHeight="1">
      <c r="B735" s="3"/>
      <c r="C735" s="3"/>
    </row>
    <row r="736" ht="15.75" customHeight="1">
      <c r="B736" s="3"/>
      <c r="C736" s="3"/>
    </row>
    <row r="737" ht="15.75" customHeight="1">
      <c r="B737" s="3"/>
      <c r="C737" s="3"/>
    </row>
    <row r="738" ht="15.75" customHeight="1">
      <c r="B738" s="3"/>
      <c r="C738" s="3"/>
    </row>
    <row r="739" ht="15.75" customHeight="1">
      <c r="B739" s="3"/>
      <c r="C739" s="3"/>
    </row>
    <row r="740" ht="15.75" customHeight="1">
      <c r="B740" s="3"/>
      <c r="C740" s="3"/>
    </row>
    <row r="741" ht="15.75" customHeight="1">
      <c r="B741" s="3"/>
      <c r="C741" s="3"/>
    </row>
    <row r="742" ht="15.75" customHeight="1">
      <c r="B742" s="3"/>
      <c r="C742" s="3"/>
    </row>
    <row r="743" ht="15.75" customHeight="1">
      <c r="B743" s="3"/>
      <c r="C743" s="3"/>
    </row>
    <row r="744" ht="15.75" customHeight="1">
      <c r="B744" s="3"/>
      <c r="C744" s="3"/>
    </row>
    <row r="745" ht="15.75" customHeight="1">
      <c r="B745" s="3"/>
      <c r="C745" s="3"/>
    </row>
    <row r="746" ht="15.75" customHeight="1">
      <c r="B746" s="3"/>
      <c r="C746" s="3"/>
    </row>
    <row r="747" ht="15.75" customHeight="1">
      <c r="B747" s="3"/>
      <c r="C747" s="3"/>
    </row>
    <row r="748" ht="15.75" customHeight="1">
      <c r="B748" s="3"/>
      <c r="C748" s="3"/>
    </row>
    <row r="749" ht="15.75" customHeight="1">
      <c r="B749" s="3"/>
      <c r="C749" s="3"/>
    </row>
    <row r="750" ht="15.75" customHeight="1">
      <c r="B750" s="3"/>
      <c r="C750" s="3"/>
    </row>
    <row r="751" ht="15.75" customHeight="1">
      <c r="B751" s="3"/>
      <c r="C751" s="3"/>
    </row>
    <row r="752" ht="15.75" customHeight="1">
      <c r="B752" s="3"/>
      <c r="C752" s="3"/>
    </row>
    <row r="753" ht="15.75" customHeight="1">
      <c r="B753" s="3"/>
      <c r="C753" s="3"/>
    </row>
    <row r="754" ht="15.75" customHeight="1">
      <c r="B754" s="3"/>
      <c r="C754" s="3"/>
    </row>
    <row r="755" ht="15.75" customHeight="1">
      <c r="B755" s="3"/>
      <c r="C755" s="3"/>
    </row>
    <row r="756" ht="15.75" customHeight="1">
      <c r="B756" s="3"/>
      <c r="C756" s="3"/>
    </row>
    <row r="757" ht="15.75" customHeight="1">
      <c r="B757" s="3"/>
      <c r="C757" s="3"/>
    </row>
    <row r="758" ht="15.75" customHeight="1">
      <c r="B758" s="3"/>
      <c r="C758" s="3"/>
    </row>
    <row r="759" ht="15.75" customHeight="1">
      <c r="B759" s="3"/>
      <c r="C759" s="3"/>
    </row>
    <row r="760" ht="15.75" customHeight="1">
      <c r="B760" s="3"/>
      <c r="C760" s="3"/>
    </row>
    <row r="761" ht="15.75" customHeight="1">
      <c r="B761" s="3"/>
      <c r="C761" s="3"/>
    </row>
    <row r="762" ht="15.75" customHeight="1">
      <c r="B762" s="3"/>
      <c r="C762" s="3"/>
    </row>
    <row r="763" ht="15.75" customHeight="1">
      <c r="B763" s="3"/>
      <c r="C763" s="3"/>
    </row>
    <row r="764" ht="15.75" customHeight="1">
      <c r="B764" s="3"/>
      <c r="C764" s="3"/>
    </row>
    <row r="765" ht="15.75" customHeight="1">
      <c r="B765" s="3"/>
      <c r="C765" s="3"/>
    </row>
    <row r="766" ht="15.75" customHeight="1">
      <c r="B766" s="3"/>
      <c r="C766" s="3"/>
    </row>
    <row r="767" ht="15.75" customHeight="1">
      <c r="B767" s="3"/>
      <c r="C767" s="3"/>
    </row>
    <row r="768" ht="15.75" customHeight="1">
      <c r="B768" s="3"/>
      <c r="C768" s="3"/>
    </row>
    <row r="769" ht="15.75" customHeight="1">
      <c r="B769" s="3"/>
      <c r="C769" s="3"/>
    </row>
    <row r="770" ht="15.75" customHeight="1">
      <c r="B770" s="3"/>
      <c r="C770" s="3"/>
    </row>
    <row r="771" ht="15.75" customHeight="1">
      <c r="B771" s="3"/>
      <c r="C771" s="3"/>
    </row>
    <row r="772" ht="15.75" customHeight="1">
      <c r="B772" s="3"/>
      <c r="C772" s="3"/>
    </row>
    <row r="773" ht="15.75" customHeight="1">
      <c r="B773" s="3"/>
      <c r="C773" s="3"/>
    </row>
    <row r="774" ht="15.75" customHeight="1">
      <c r="B774" s="3"/>
      <c r="C774" s="3"/>
    </row>
    <row r="775" ht="15.75" customHeight="1">
      <c r="B775" s="3"/>
      <c r="C775" s="3"/>
    </row>
    <row r="776" ht="15.75" customHeight="1">
      <c r="B776" s="3"/>
      <c r="C776" s="3"/>
    </row>
    <row r="777" ht="15.75" customHeight="1">
      <c r="B777" s="3"/>
      <c r="C777" s="3"/>
    </row>
    <row r="778" ht="15.75" customHeight="1">
      <c r="B778" s="3"/>
      <c r="C778" s="3"/>
    </row>
    <row r="779" ht="15.75" customHeight="1">
      <c r="B779" s="3"/>
      <c r="C779" s="3"/>
    </row>
    <row r="780" ht="15.75" customHeight="1">
      <c r="B780" s="3"/>
      <c r="C780" s="3"/>
    </row>
    <row r="781" ht="15.75" customHeight="1">
      <c r="B781" s="3"/>
      <c r="C781" s="3"/>
    </row>
    <row r="782" ht="15.75" customHeight="1">
      <c r="B782" s="3"/>
      <c r="C782" s="3"/>
    </row>
    <row r="783" ht="15.75" customHeight="1">
      <c r="B783" s="3"/>
      <c r="C783" s="3"/>
    </row>
    <row r="784" ht="15.75" customHeight="1">
      <c r="B784" s="3"/>
      <c r="C784" s="3"/>
    </row>
    <row r="785" ht="15.75" customHeight="1">
      <c r="B785" s="3"/>
      <c r="C785" s="3"/>
    </row>
    <row r="786" ht="15.75" customHeight="1">
      <c r="B786" s="3"/>
      <c r="C786" s="3"/>
    </row>
    <row r="787" ht="15.75" customHeight="1">
      <c r="B787" s="3"/>
      <c r="C787" s="3"/>
    </row>
    <row r="788" ht="15.75" customHeight="1">
      <c r="B788" s="3"/>
      <c r="C788" s="3"/>
    </row>
    <row r="789" ht="15.75" customHeight="1">
      <c r="B789" s="3"/>
      <c r="C789" s="3"/>
    </row>
    <row r="790" ht="15.75" customHeight="1">
      <c r="B790" s="3"/>
      <c r="C790" s="3"/>
    </row>
    <row r="791" ht="15.75" customHeight="1">
      <c r="B791" s="3"/>
      <c r="C791" s="3"/>
    </row>
    <row r="792" ht="15.75" customHeight="1">
      <c r="B792" s="3"/>
      <c r="C792" s="3"/>
    </row>
    <row r="793" ht="15.75" customHeight="1">
      <c r="B793" s="3"/>
      <c r="C793" s="3"/>
    </row>
    <row r="794" ht="15.75" customHeight="1">
      <c r="B794" s="3"/>
      <c r="C794" s="3"/>
    </row>
    <row r="795" ht="15.75" customHeight="1">
      <c r="B795" s="3"/>
      <c r="C795" s="3"/>
    </row>
    <row r="796" ht="15.75" customHeight="1">
      <c r="B796" s="3"/>
      <c r="C796" s="3"/>
    </row>
    <row r="797" ht="15.75" customHeight="1">
      <c r="B797" s="3"/>
      <c r="C797" s="3"/>
    </row>
    <row r="798" ht="15.75" customHeight="1">
      <c r="B798" s="3"/>
      <c r="C798" s="3"/>
    </row>
    <row r="799" ht="15.75" customHeight="1">
      <c r="B799" s="3"/>
      <c r="C799" s="3"/>
    </row>
    <row r="800" ht="15.75" customHeight="1">
      <c r="B800" s="3"/>
      <c r="C800" s="3"/>
    </row>
    <row r="801" ht="15.75" customHeight="1">
      <c r="B801" s="3"/>
      <c r="C801" s="3"/>
    </row>
    <row r="802" ht="15.75" customHeight="1">
      <c r="B802" s="3"/>
      <c r="C802" s="3"/>
    </row>
    <row r="803" ht="15.75" customHeight="1">
      <c r="B803" s="3"/>
      <c r="C803" s="3"/>
    </row>
    <row r="804" ht="15.75" customHeight="1">
      <c r="B804" s="3"/>
      <c r="C804" s="3"/>
    </row>
    <row r="805" ht="15.75" customHeight="1">
      <c r="B805" s="3"/>
      <c r="C805" s="3"/>
    </row>
    <row r="806" ht="15.75" customHeight="1">
      <c r="B806" s="3"/>
      <c r="C806" s="3"/>
    </row>
    <row r="807" ht="15.75" customHeight="1">
      <c r="B807" s="3"/>
      <c r="C807" s="3"/>
    </row>
    <row r="808" ht="15.75" customHeight="1">
      <c r="B808" s="3"/>
      <c r="C808" s="3"/>
    </row>
    <row r="809" ht="15.75" customHeight="1">
      <c r="B809" s="3"/>
      <c r="C809" s="3"/>
    </row>
    <row r="810" ht="15.75" customHeight="1">
      <c r="B810" s="3"/>
      <c r="C810" s="3"/>
    </row>
    <row r="811" ht="15.75" customHeight="1">
      <c r="B811" s="3"/>
      <c r="C811" s="3"/>
    </row>
    <row r="812" ht="15.75" customHeight="1">
      <c r="B812" s="3"/>
      <c r="C812" s="3"/>
    </row>
    <row r="813" ht="15.75" customHeight="1">
      <c r="B813" s="3"/>
      <c r="C813" s="3"/>
    </row>
    <row r="814" ht="15.75" customHeight="1">
      <c r="B814" s="3"/>
      <c r="C814" s="3"/>
    </row>
    <row r="815" ht="15.75" customHeight="1">
      <c r="B815" s="3"/>
      <c r="C815" s="3"/>
    </row>
    <row r="816" ht="15.75" customHeight="1">
      <c r="B816" s="3"/>
      <c r="C816" s="3"/>
    </row>
    <row r="817" ht="15.75" customHeight="1">
      <c r="B817" s="3"/>
      <c r="C817" s="3"/>
    </row>
    <row r="818" ht="15.75" customHeight="1">
      <c r="B818" s="3"/>
      <c r="C818" s="3"/>
    </row>
    <row r="819" ht="15.75" customHeight="1">
      <c r="B819" s="3"/>
      <c r="C819" s="3"/>
    </row>
    <row r="820" ht="15.75" customHeight="1">
      <c r="B820" s="3"/>
      <c r="C820" s="3"/>
    </row>
    <row r="821" ht="15.75" customHeight="1">
      <c r="B821" s="3"/>
      <c r="C821" s="3"/>
    </row>
    <row r="822" ht="15.75" customHeight="1">
      <c r="B822" s="3"/>
      <c r="C822" s="3"/>
    </row>
    <row r="823" ht="15.75" customHeight="1">
      <c r="B823" s="3"/>
      <c r="C823" s="3"/>
    </row>
    <row r="824" ht="15.75" customHeight="1">
      <c r="B824" s="3"/>
      <c r="C824" s="3"/>
    </row>
    <row r="825" ht="15.75" customHeight="1">
      <c r="B825" s="3"/>
      <c r="C825" s="3"/>
    </row>
    <row r="826" ht="15.75" customHeight="1">
      <c r="B826" s="3"/>
      <c r="C826" s="3"/>
    </row>
    <row r="827" ht="15.75" customHeight="1">
      <c r="B827" s="3"/>
      <c r="C827" s="3"/>
    </row>
    <row r="828" ht="15.75" customHeight="1">
      <c r="B828" s="3"/>
      <c r="C828" s="3"/>
    </row>
    <row r="829" ht="15.75" customHeight="1">
      <c r="B829" s="3"/>
      <c r="C829" s="3"/>
    </row>
    <row r="830" ht="15.75" customHeight="1">
      <c r="B830" s="3"/>
      <c r="C830" s="3"/>
    </row>
    <row r="831" ht="15.75" customHeight="1">
      <c r="B831" s="3"/>
      <c r="C831" s="3"/>
    </row>
    <row r="832" ht="15.75" customHeight="1">
      <c r="B832" s="3"/>
      <c r="C832" s="3"/>
    </row>
    <row r="833" ht="15.75" customHeight="1">
      <c r="B833" s="3"/>
      <c r="C833" s="3"/>
    </row>
    <row r="834" ht="15.75" customHeight="1">
      <c r="B834" s="3"/>
      <c r="C834" s="3"/>
    </row>
    <row r="835" ht="15.75" customHeight="1">
      <c r="B835" s="3"/>
      <c r="C835" s="3"/>
    </row>
    <row r="836" ht="15.75" customHeight="1">
      <c r="B836" s="3"/>
      <c r="C836" s="3"/>
    </row>
    <row r="837" ht="15.75" customHeight="1">
      <c r="B837" s="3"/>
      <c r="C837" s="3"/>
    </row>
    <row r="838" ht="15.75" customHeight="1">
      <c r="B838" s="3"/>
      <c r="C838" s="3"/>
    </row>
    <row r="839" ht="15.75" customHeight="1">
      <c r="B839" s="3"/>
      <c r="C839" s="3"/>
    </row>
    <row r="840" ht="15.75" customHeight="1">
      <c r="B840" s="3"/>
      <c r="C840" s="3"/>
    </row>
    <row r="841" ht="15.75" customHeight="1">
      <c r="B841" s="3"/>
      <c r="C841" s="3"/>
    </row>
    <row r="842" ht="15.75" customHeight="1">
      <c r="B842" s="3"/>
      <c r="C842" s="3"/>
    </row>
    <row r="843" ht="15.75" customHeight="1">
      <c r="B843" s="3"/>
      <c r="C843" s="3"/>
    </row>
    <row r="844" ht="15.75" customHeight="1">
      <c r="B844" s="3"/>
      <c r="C844" s="3"/>
    </row>
    <row r="845" ht="15.75" customHeight="1">
      <c r="B845" s="3"/>
      <c r="C845" s="3"/>
    </row>
    <row r="846" ht="15.75" customHeight="1">
      <c r="B846" s="3"/>
      <c r="C846" s="3"/>
    </row>
    <row r="847" ht="15.75" customHeight="1">
      <c r="B847" s="3"/>
      <c r="C847" s="3"/>
    </row>
    <row r="848" ht="15.75" customHeight="1">
      <c r="B848" s="3"/>
      <c r="C848" s="3"/>
    </row>
    <row r="849" ht="15.75" customHeight="1">
      <c r="B849" s="3"/>
      <c r="C849" s="3"/>
    </row>
    <row r="850" ht="15.75" customHeight="1">
      <c r="B850" s="3"/>
      <c r="C850" s="3"/>
    </row>
    <row r="851" ht="15.75" customHeight="1">
      <c r="B851" s="3"/>
      <c r="C851" s="3"/>
    </row>
    <row r="852" ht="15.75" customHeight="1">
      <c r="B852" s="3"/>
      <c r="C852" s="3"/>
    </row>
    <row r="853" ht="15.75" customHeight="1">
      <c r="B853" s="3"/>
      <c r="C853" s="3"/>
    </row>
    <row r="854" ht="15.75" customHeight="1">
      <c r="B854" s="3"/>
      <c r="C854" s="3"/>
    </row>
    <row r="855" ht="15.75" customHeight="1">
      <c r="B855" s="3"/>
      <c r="C855" s="3"/>
    </row>
    <row r="856" ht="15.75" customHeight="1">
      <c r="B856" s="3"/>
      <c r="C856" s="3"/>
    </row>
    <row r="857" ht="15.75" customHeight="1">
      <c r="B857" s="3"/>
      <c r="C857" s="3"/>
    </row>
    <row r="858" ht="15.75" customHeight="1">
      <c r="B858" s="3"/>
      <c r="C858" s="3"/>
    </row>
    <row r="859" ht="15.75" customHeight="1">
      <c r="B859" s="3"/>
      <c r="C859" s="3"/>
    </row>
    <row r="860" ht="15.75" customHeight="1">
      <c r="B860" s="3"/>
      <c r="C860" s="3"/>
    </row>
    <row r="861" ht="15.75" customHeight="1">
      <c r="B861" s="3"/>
      <c r="C861" s="3"/>
    </row>
    <row r="862" ht="15.75" customHeight="1">
      <c r="B862" s="3"/>
      <c r="C862" s="3"/>
    </row>
    <row r="863" ht="15.75" customHeight="1">
      <c r="B863" s="3"/>
      <c r="C863" s="3"/>
    </row>
    <row r="864" ht="15.75" customHeight="1">
      <c r="B864" s="3"/>
      <c r="C864" s="3"/>
    </row>
    <row r="865" ht="15.75" customHeight="1">
      <c r="B865" s="3"/>
      <c r="C865" s="3"/>
    </row>
    <row r="866" ht="15.75" customHeight="1">
      <c r="B866" s="3"/>
      <c r="C866" s="3"/>
    </row>
    <row r="867" ht="15.75" customHeight="1">
      <c r="B867" s="3"/>
      <c r="C867" s="3"/>
    </row>
    <row r="868" ht="15.75" customHeight="1">
      <c r="B868" s="3"/>
      <c r="C868" s="3"/>
    </row>
    <row r="869" ht="15.75" customHeight="1">
      <c r="B869" s="3"/>
      <c r="C869" s="3"/>
    </row>
    <row r="870" ht="15.75" customHeight="1">
      <c r="B870" s="3"/>
      <c r="C870" s="3"/>
    </row>
    <row r="871" ht="15.75" customHeight="1">
      <c r="B871" s="3"/>
      <c r="C871" s="3"/>
    </row>
    <row r="872" ht="15.75" customHeight="1">
      <c r="B872" s="3"/>
      <c r="C872" s="3"/>
    </row>
    <row r="873" ht="15.75" customHeight="1">
      <c r="B873" s="3"/>
      <c r="C873" s="3"/>
    </row>
    <row r="874" ht="15.75" customHeight="1">
      <c r="B874" s="3"/>
      <c r="C874" s="3"/>
    </row>
    <row r="875" ht="15.75" customHeight="1">
      <c r="B875" s="3"/>
      <c r="C875" s="3"/>
    </row>
    <row r="876" ht="15.75" customHeight="1">
      <c r="B876" s="3"/>
      <c r="C876" s="3"/>
    </row>
    <row r="877" ht="15.75" customHeight="1">
      <c r="B877" s="3"/>
      <c r="C877" s="3"/>
    </row>
    <row r="878" ht="15.75" customHeight="1">
      <c r="B878" s="3"/>
      <c r="C878" s="3"/>
    </row>
    <row r="879" ht="15.75" customHeight="1">
      <c r="B879" s="3"/>
      <c r="C879" s="3"/>
    </row>
    <row r="880" ht="15.75" customHeight="1">
      <c r="B880" s="3"/>
      <c r="C880" s="3"/>
    </row>
    <row r="881" ht="15.75" customHeight="1">
      <c r="B881" s="3"/>
      <c r="C881" s="3"/>
    </row>
    <row r="882" ht="15.75" customHeight="1">
      <c r="B882" s="3"/>
      <c r="C882" s="3"/>
    </row>
    <row r="883" ht="15.75" customHeight="1">
      <c r="B883" s="3"/>
      <c r="C883" s="3"/>
    </row>
    <row r="884" ht="15.75" customHeight="1">
      <c r="B884" s="3"/>
      <c r="C884" s="3"/>
    </row>
    <row r="885" ht="15.75" customHeight="1">
      <c r="B885" s="3"/>
      <c r="C885" s="3"/>
    </row>
    <row r="886" ht="15.75" customHeight="1">
      <c r="B886" s="3"/>
      <c r="C886" s="3"/>
    </row>
    <row r="887" ht="15.75" customHeight="1">
      <c r="B887" s="3"/>
      <c r="C887" s="3"/>
    </row>
    <row r="888" ht="15.75" customHeight="1">
      <c r="B888" s="3"/>
      <c r="C888" s="3"/>
    </row>
    <row r="889" ht="15.75" customHeight="1">
      <c r="B889" s="3"/>
      <c r="C889" s="3"/>
    </row>
    <row r="890" ht="15.75" customHeight="1">
      <c r="B890" s="3"/>
      <c r="C890" s="3"/>
    </row>
    <row r="891" ht="15.75" customHeight="1">
      <c r="B891" s="3"/>
      <c r="C891" s="3"/>
    </row>
    <row r="892" ht="15.75" customHeight="1">
      <c r="B892" s="3"/>
      <c r="C892" s="3"/>
    </row>
    <row r="893" ht="15.75" customHeight="1">
      <c r="B893" s="3"/>
      <c r="C893" s="3"/>
    </row>
    <row r="894" ht="15.75" customHeight="1">
      <c r="B894" s="3"/>
      <c r="C894" s="3"/>
    </row>
    <row r="895" ht="15.75" customHeight="1">
      <c r="B895" s="3"/>
      <c r="C895" s="3"/>
    </row>
    <row r="896" ht="15.75" customHeight="1">
      <c r="B896" s="3"/>
      <c r="C896" s="3"/>
    </row>
    <row r="897" ht="15.75" customHeight="1">
      <c r="B897" s="3"/>
      <c r="C897" s="3"/>
    </row>
    <row r="898" ht="15.75" customHeight="1">
      <c r="B898" s="3"/>
      <c r="C898" s="3"/>
    </row>
    <row r="899" ht="15.75" customHeight="1">
      <c r="B899" s="3"/>
      <c r="C899" s="3"/>
    </row>
    <row r="900" ht="15.75" customHeight="1">
      <c r="B900" s="3"/>
      <c r="C900" s="3"/>
    </row>
    <row r="901" ht="15.75" customHeight="1">
      <c r="B901" s="3"/>
      <c r="C901" s="3"/>
    </row>
    <row r="902" ht="15.75" customHeight="1">
      <c r="B902" s="3"/>
      <c r="C902" s="3"/>
    </row>
    <row r="903" ht="15.75" customHeight="1">
      <c r="B903" s="3"/>
      <c r="C903" s="3"/>
    </row>
    <row r="904" ht="15.75" customHeight="1">
      <c r="B904" s="3"/>
      <c r="C904" s="3"/>
    </row>
    <row r="905" ht="15.75" customHeight="1">
      <c r="B905" s="3"/>
      <c r="C905" s="3"/>
    </row>
    <row r="906" ht="15.75" customHeight="1">
      <c r="B906" s="3"/>
      <c r="C906" s="3"/>
    </row>
    <row r="907" ht="15.75" customHeight="1">
      <c r="B907" s="3"/>
      <c r="C907" s="3"/>
    </row>
    <row r="908" ht="15.75" customHeight="1">
      <c r="B908" s="3"/>
      <c r="C908" s="3"/>
    </row>
    <row r="909" ht="15.75" customHeight="1">
      <c r="B909" s="3"/>
      <c r="C909" s="3"/>
    </row>
    <row r="910" ht="15.75" customHeight="1">
      <c r="B910" s="3"/>
      <c r="C910" s="3"/>
    </row>
    <row r="911" ht="15.75" customHeight="1">
      <c r="B911" s="3"/>
      <c r="C911" s="3"/>
    </row>
    <row r="912" ht="15.75" customHeight="1">
      <c r="B912" s="3"/>
      <c r="C912" s="3"/>
    </row>
    <row r="913" ht="15.75" customHeight="1">
      <c r="B913" s="3"/>
      <c r="C913" s="3"/>
    </row>
    <row r="914" ht="15.75" customHeight="1">
      <c r="B914" s="3"/>
      <c r="C914" s="3"/>
    </row>
    <row r="915" ht="15.75" customHeight="1">
      <c r="B915" s="3"/>
      <c r="C915" s="3"/>
    </row>
    <row r="916" ht="15.75" customHeight="1">
      <c r="B916" s="3"/>
      <c r="C916" s="3"/>
    </row>
    <row r="917" ht="15.75" customHeight="1">
      <c r="B917" s="3"/>
      <c r="C917" s="3"/>
    </row>
    <row r="918" ht="15.75" customHeight="1">
      <c r="B918" s="3"/>
      <c r="C918" s="3"/>
    </row>
    <row r="919" ht="15.75" customHeight="1">
      <c r="B919" s="3"/>
      <c r="C919" s="3"/>
    </row>
    <row r="920" ht="15.75" customHeight="1">
      <c r="B920" s="3"/>
      <c r="C920" s="3"/>
    </row>
    <row r="921" ht="15.75" customHeight="1">
      <c r="B921" s="3"/>
      <c r="C921" s="3"/>
    </row>
    <row r="922" ht="15.75" customHeight="1">
      <c r="B922" s="3"/>
      <c r="C922" s="3"/>
    </row>
    <row r="923" ht="15.75" customHeight="1">
      <c r="B923" s="3"/>
      <c r="C923" s="3"/>
    </row>
    <row r="924" ht="15.75" customHeight="1">
      <c r="B924" s="3"/>
      <c r="C924" s="3"/>
    </row>
    <row r="925" ht="15.75" customHeight="1">
      <c r="B925" s="3"/>
      <c r="C925" s="3"/>
    </row>
    <row r="926" ht="15.75" customHeight="1">
      <c r="B926" s="3"/>
      <c r="C926" s="3"/>
    </row>
    <row r="927" ht="15.75" customHeight="1">
      <c r="B927" s="3"/>
      <c r="C927" s="3"/>
    </row>
    <row r="928" ht="15.75" customHeight="1">
      <c r="B928" s="3"/>
      <c r="C928" s="3"/>
    </row>
    <row r="929" ht="15.75" customHeight="1">
      <c r="B929" s="3"/>
      <c r="C929" s="3"/>
    </row>
    <row r="930" ht="15.75" customHeight="1">
      <c r="B930" s="3"/>
      <c r="C930" s="3"/>
    </row>
    <row r="931" ht="15.75" customHeight="1">
      <c r="B931" s="3"/>
      <c r="C931" s="3"/>
    </row>
    <row r="932" ht="15.75" customHeight="1">
      <c r="B932" s="3"/>
      <c r="C932" s="3"/>
    </row>
    <row r="933" ht="15.75" customHeight="1">
      <c r="B933" s="3"/>
      <c r="C933" s="3"/>
    </row>
    <row r="934" ht="15.75" customHeight="1">
      <c r="B934" s="3"/>
      <c r="C934" s="3"/>
    </row>
    <row r="935" ht="15.75" customHeight="1">
      <c r="B935" s="3"/>
      <c r="C935" s="3"/>
    </row>
    <row r="936" ht="15.75" customHeight="1">
      <c r="B936" s="3"/>
      <c r="C936" s="3"/>
    </row>
    <row r="937" ht="15.75" customHeight="1">
      <c r="B937" s="3"/>
      <c r="C937" s="3"/>
    </row>
    <row r="938" ht="15.75" customHeight="1">
      <c r="B938" s="3"/>
      <c r="C938" s="3"/>
    </row>
    <row r="939" ht="15.75" customHeight="1">
      <c r="B939" s="3"/>
      <c r="C939" s="3"/>
    </row>
    <row r="940" ht="15.75" customHeight="1">
      <c r="B940" s="3"/>
      <c r="C940" s="3"/>
    </row>
    <row r="941" ht="15.75" customHeight="1">
      <c r="B941" s="3"/>
      <c r="C941" s="3"/>
    </row>
    <row r="942" ht="15.75" customHeight="1">
      <c r="B942" s="3"/>
      <c r="C942" s="3"/>
    </row>
    <row r="943" ht="15.75" customHeight="1">
      <c r="B943" s="3"/>
      <c r="C943" s="3"/>
    </row>
    <row r="944" ht="15.75" customHeight="1">
      <c r="B944" s="3"/>
      <c r="C944" s="3"/>
    </row>
    <row r="945" ht="15.75" customHeight="1">
      <c r="B945" s="3"/>
      <c r="C945" s="3"/>
    </row>
    <row r="946" ht="15.75" customHeight="1">
      <c r="B946" s="3"/>
      <c r="C946" s="3"/>
    </row>
    <row r="947" ht="15.75" customHeight="1">
      <c r="B947" s="3"/>
      <c r="C947" s="3"/>
    </row>
    <row r="948" ht="15.75" customHeight="1">
      <c r="B948" s="3"/>
      <c r="C948" s="3"/>
    </row>
    <row r="949" ht="15.75" customHeight="1">
      <c r="B949" s="3"/>
      <c r="C949" s="3"/>
    </row>
    <row r="950" ht="15.75" customHeight="1">
      <c r="B950" s="3"/>
      <c r="C950" s="3"/>
    </row>
    <row r="951" ht="15.75" customHeight="1">
      <c r="B951" s="3"/>
      <c r="C951" s="3"/>
    </row>
    <row r="952" ht="15.75" customHeight="1">
      <c r="B952" s="3"/>
      <c r="C952" s="3"/>
    </row>
    <row r="953" ht="15.75" customHeight="1">
      <c r="B953" s="3"/>
      <c r="C953" s="3"/>
    </row>
    <row r="954" ht="15.75" customHeight="1">
      <c r="B954" s="3"/>
      <c r="C954" s="3"/>
    </row>
    <row r="955" ht="15.75" customHeight="1">
      <c r="B955" s="3"/>
      <c r="C955" s="3"/>
    </row>
    <row r="956" ht="15.75" customHeight="1">
      <c r="B956" s="3"/>
      <c r="C956" s="3"/>
    </row>
    <row r="957" ht="15.75" customHeight="1">
      <c r="B957" s="3"/>
      <c r="C957" s="3"/>
    </row>
    <row r="958" ht="15.75" customHeight="1">
      <c r="B958" s="3"/>
      <c r="C958" s="3"/>
    </row>
    <row r="959" ht="15.75" customHeight="1">
      <c r="B959" s="3"/>
      <c r="C959" s="3"/>
    </row>
    <row r="960" ht="15.75" customHeight="1">
      <c r="B960" s="3"/>
      <c r="C960" s="3"/>
    </row>
    <row r="961" ht="15.75" customHeight="1">
      <c r="B961" s="3"/>
      <c r="C961" s="3"/>
    </row>
    <row r="962" ht="15.75" customHeight="1">
      <c r="B962" s="3"/>
      <c r="C962" s="3"/>
    </row>
    <row r="963" ht="15.75" customHeight="1">
      <c r="B963" s="3"/>
      <c r="C963" s="3"/>
    </row>
    <row r="964" ht="15.75" customHeight="1">
      <c r="B964" s="3"/>
      <c r="C964" s="3"/>
    </row>
    <row r="965" ht="15.75" customHeight="1">
      <c r="B965" s="3"/>
      <c r="C965" s="3"/>
    </row>
    <row r="966" ht="15.75" customHeight="1">
      <c r="B966" s="3"/>
      <c r="C966" s="3"/>
    </row>
    <row r="967" ht="15.75" customHeight="1">
      <c r="B967" s="3"/>
      <c r="C967" s="3"/>
    </row>
    <row r="968" ht="15.75" customHeight="1">
      <c r="B968" s="3"/>
      <c r="C968" s="3"/>
    </row>
    <row r="969" ht="15.75" customHeight="1">
      <c r="B969" s="3"/>
      <c r="C969" s="3"/>
    </row>
    <row r="970" ht="15.75" customHeight="1">
      <c r="B970" s="3"/>
      <c r="C970" s="3"/>
    </row>
    <row r="971" ht="15.75" customHeight="1">
      <c r="B971" s="3"/>
      <c r="C971" s="3"/>
    </row>
    <row r="972" ht="15.75" customHeight="1">
      <c r="B972" s="3"/>
      <c r="C972" s="3"/>
    </row>
    <row r="973" ht="15.75" customHeight="1">
      <c r="B973" s="3"/>
      <c r="C973" s="3"/>
    </row>
    <row r="974" ht="15.75" customHeight="1">
      <c r="B974" s="3"/>
      <c r="C974" s="3"/>
    </row>
    <row r="975" ht="15.75" customHeight="1">
      <c r="B975" s="3"/>
      <c r="C975" s="3"/>
    </row>
    <row r="976" ht="15.75" customHeight="1">
      <c r="B976" s="3"/>
      <c r="C976" s="3"/>
    </row>
    <row r="977" ht="15.75" customHeight="1">
      <c r="B977" s="3"/>
      <c r="C977" s="3"/>
    </row>
    <row r="978" ht="15.75" customHeight="1">
      <c r="B978" s="3"/>
      <c r="C978" s="3"/>
    </row>
    <row r="979" ht="15.75" customHeight="1">
      <c r="B979" s="3"/>
      <c r="C979" s="3"/>
    </row>
    <row r="980" ht="15.75" customHeight="1">
      <c r="B980" s="3"/>
      <c r="C980" s="3"/>
    </row>
    <row r="981" ht="15.75" customHeight="1">
      <c r="B981" s="3"/>
      <c r="C981" s="3"/>
    </row>
    <row r="982" ht="15.75" customHeight="1">
      <c r="B982" s="3"/>
      <c r="C982" s="3"/>
    </row>
    <row r="983" ht="15.75" customHeight="1">
      <c r="B983" s="3"/>
      <c r="C983" s="3"/>
    </row>
    <row r="984" ht="15.75" customHeight="1">
      <c r="B984" s="3"/>
      <c r="C984" s="3"/>
    </row>
    <row r="985" ht="15.75" customHeight="1">
      <c r="B985" s="3"/>
      <c r="C985" s="3"/>
    </row>
    <row r="986" ht="15.75" customHeight="1">
      <c r="B986" s="3"/>
      <c r="C986" s="3"/>
    </row>
    <row r="987" ht="15.75" customHeight="1">
      <c r="B987" s="3"/>
      <c r="C987" s="3"/>
    </row>
    <row r="988" ht="15.75" customHeight="1">
      <c r="B988" s="3"/>
      <c r="C988" s="3"/>
    </row>
    <row r="989" ht="15.75" customHeight="1">
      <c r="B989" s="3"/>
      <c r="C989" s="3"/>
    </row>
    <row r="990" ht="15.75" customHeight="1">
      <c r="B990" s="3"/>
      <c r="C990" s="3"/>
    </row>
    <row r="991" ht="15.75" customHeight="1">
      <c r="B991" s="3"/>
      <c r="C991" s="3"/>
    </row>
    <row r="992" ht="15.75" customHeight="1">
      <c r="B992" s="3"/>
      <c r="C992" s="3"/>
    </row>
    <row r="993" ht="15.75" customHeight="1">
      <c r="B993" s="3"/>
      <c r="C993" s="3"/>
    </row>
    <row r="994" ht="15.75" customHeight="1">
      <c r="B994" s="3"/>
      <c r="C994" s="3"/>
    </row>
    <row r="995" ht="15.75" customHeight="1">
      <c r="B995" s="3"/>
      <c r="C995" s="3"/>
    </row>
    <row r="996" ht="15.75" customHeight="1">
      <c r="B996" s="3"/>
      <c r="C996" s="3"/>
    </row>
    <row r="997" ht="15.75" customHeight="1">
      <c r="B997" s="3"/>
      <c r="C997" s="3"/>
    </row>
    <row r="998" ht="15.75" customHeight="1">
      <c r="B998" s="3"/>
      <c r="C998" s="3"/>
    </row>
    <row r="999" ht="15.75" customHeight="1">
      <c r="B999" s="3"/>
      <c r="C999" s="3"/>
    </row>
    <row r="1000" ht="15.75" customHeight="1">
      <c r="B1000" s="3"/>
      <c r="C1000" s="3"/>
    </row>
    <row r="1001" ht="15.75" customHeight="1">
      <c r="B1001" s="3"/>
      <c r="C1001" s="3"/>
    </row>
    <row r="1002" ht="15.75" customHeight="1">
      <c r="B1002" s="3"/>
      <c r="C1002" s="3"/>
    </row>
    <row r="1003" ht="15.75" customHeight="1">
      <c r="B1003" s="3"/>
      <c r="C1003" s="3"/>
    </row>
    <row r="1004" ht="15.75" customHeight="1">
      <c r="B1004" s="3"/>
      <c r="C1004" s="3"/>
    </row>
    <row r="1005" ht="15.75" customHeight="1">
      <c r="B1005" s="3"/>
      <c r="C1005" s="3"/>
    </row>
    <row r="1006" ht="15.75" customHeight="1">
      <c r="B1006" s="3"/>
      <c r="C1006" s="3"/>
    </row>
    <row r="1007" ht="15.75" customHeight="1">
      <c r="B1007" s="3"/>
      <c r="C1007" s="3"/>
    </row>
    <row r="1008" ht="15.75" customHeight="1">
      <c r="B1008" s="3"/>
      <c r="C1008" s="3"/>
    </row>
    <row r="1009" ht="15.75" customHeight="1">
      <c r="B1009" s="3"/>
      <c r="C1009" s="3"/>
    </row>
    <row r="1010" ht="15.75" customHeight="1">
      <c r="B1010" s="3"/>
      <c r="C1010" s="3"/>
    </row>
    <row r="1011" ht="15.75" customHeight="1">
      <c r="B1011" s="3"/>
      <c r="C1011" s="3"/>
    </row>
  </sheetData>
  <mergeCells count="20">
    <mergeCell ref="F2:R4"/>
    <mergeCell ref="F8:G11"/>
    <mergeCell ref="I8:J11"/>
    <mergeCell ref="L8:M11"/>
    <mergeCell ref="O8:P11"/>
    <mergeCell ref="R8:S11"/>
    <mergeCell ref="U8:V11"/>
    <mergeCell ref="O12:P12"/>
    <mergeCell ref="H15:P15"/>
    <mergeCell ref="C102:D102"/>
    <mergeCell ref="F102:H102"/>
    <mergeCell ref="J102:L102"/>
    <mergeCell ref="R102:T102"/>
    <mergeCell ref="C8:D11"/>
    <mergeCell ref="C12:D12"/>
    <mergeCell ref="F12:G12"/>
    <mergeCell ref="I12:J12"/>
    <mergeCell ref="L12:M12"/>
    <mergeCell ref="R12:S12"/>
    <mergeCell ref="U12:V1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385C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4.38"/>
    <col customWidth="1" min="2" max="2" width="11.38"/>
    <col customWidth="1" min="3" max="6" width="12.63"/>
    <col customWidth="1" min="9" max="9" width="11.38"/>
    <col customWidth="1" min="10" max="14" width="15.63"/>
    <col customWidth="1" min="15" max="15" width="16.5"/>
  </cols>
  <sheetData>
    <row r="1" ht="15.75" customHeight="1">
      <c r="A1" s="69" t="s">
        <v>80</v>
      </c>
      <c r="B1" s="69" t="s">
        <v>81</v>
      </c>
      <c r="C1" s="69" t="s">
        <v>58</v>
      </c>
      <c r="D1" s="69" t="s">
        <v>82</v>
      </c>
      <c r="E1" s="69" t="s">
        <v>83</v>
      </c>
      <c r="F1" s="69" t="s">
        <v>84</v>
      </c>
      <c r="G1" s="69" t="s">
        <v>85</v>
      </c>
      <c r="H1" s="69" t="s">
        <v>86</v>
      </c>
      <c r="I1" s="70"/>
      <c r="J1" s="69" t="s">
        <v>87</v>
      </c>
      <c r="K1" s="69" t="s">
        <v>88</v>
      </c>
      <c r="L1" s="69" t="s">
        <v>89</v>
      </c>
      <c r="M1" s="69" t="s">
        <v>90</v>
      </c>
      <c r="N1" s="69" t="s">
        <v>91</v>
      </c>
      <c r="O1" s="69" t="s">
        <v>92</v>
      </c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5.75" customHeight="1">
      <c r="A2" s="71" t="s">
        <v>93</v>
      </c>
    </row>
    <row r="3" ht="15.75" customHeight="1">
      <c r="A3" s="72" t="s">
        <v>94</v>
      </c>
      <c r="B3" s="72" t="s">
        <v>55</v>
      </c>
      <c r="C3" s="73">
        <v>0.0</v>
      </c>
      <c r="D3" s="73">
        <f t="shared" ref="D3:G3" si="1">C4</f>
        <v>50</v>
      </c>
      <c r="E3" s="74">
        <f t="shared" si="1"/>
        <v>104</v>
      </c>
      <c r="F3" s="74">
        <f t="shared" si="1"/>
        <v>228</v>
      </c>
      <c r="G3" s="75">
        <f t="shared" si="1"/>
        <v>283</v>
      </c>
      <c r="H3" s="75">
        <f>'4. Revenue and Volume '!D3</f>
        <v>283</v>
      </c>
      <c r="I3" s="3"/>
      <c r="J3" s="75">
        <f>'9. Multi-Year Projection'!C3</f>
        <v>513.76</v>
      </c>
      <c r="K3" s="75">
        <f>'9. Multi-Year Projection'!D3</f>
        <v>680</v>
      </c>
      <c r="L3" s="75">
        <f>'9. Multi-Year Projection'!E3</f>
        <v>821</v>
      </c>
      <c r="M3" s="75">
        <f>'9. Multi-Year Projection'!F3</f>
        <v>941</v>
      </c>
      <c r="N3" s="75">
        <f>'9. Multi-Year Projection'!G3</f>
        <v>1043</v>
      </c>
      <c r="O3" s="75">
        <f>'9. Multi-Year Projection'!H3</f>
        <v>1211</v>
      </c>
    </row>
    <row r="4" ht="15.75" customHeight="1">
      <c r="A4" s="72" t="s">
        <v>95</v>
      </c>
      <c r="B4" s="72" t="s">
        <v>55</v>
      </c>
      <c r="C4" s="73">
        <v>50.0</v>
      </c>
      <c r="D4" s="73">
        <v>104.0</v>
      </c>
      <c r="E4" s="73">
        <v>228.0</v>
      </c>
      <c r="F4" s="73">
        <v>283.0</v>
      </c>
      <c r="G4" s="75">
        <f>G3</f>
        <v>283</v>
      </c>
      <c r="H4" s="75">
        <f>'4. Revenue and Volume '!P6</f>
        <v>513.76</v>
      </c>
      <c r="I4" s="3"/>
      <c r="J4" s="75">
        <f>'9. Multi-Year Projection'!C8</f>
        <v>680</v>
      </c>
      <c r="K4" s="75">
        <f>'9. Multi-Year Projection'!D8</f>
        <v>821</v>
      </c>
      <c r="L4" s="75">
        <f>'9. Multi-Year Projection'!E8</f>
        <v>941</v>
      </c>
      <c r="M4" s="75">
        <f>'9. Multi-Year Projection'!F8</f>
        <v>1043</v>
      </c>
      <c r="N4" s="75">
        <f>'9. Multi-Year Projection'!G8</f>
        <v>1211</v>
      </c>
      <c r="O4" s="75">
        <f>'9. Multi-Year Projection'!H8</f>
        <v>1353</v>
      </c>
    </row>
    <row r="5" ht="15.75" customHeight="1">
      <c r="A5" s="72" t="s">
        <v>96</v>
      </c>
      <c r="B5" s="72" t="s">
        <v>97</v>
      </c>
      <c r="C5" s="76">
        <v>0.0</v>
      </c>
      <c r="D5" s="73">
        <v>11.0</v>
      </c>
      <c r="E5" s="73">
        <v>19.0</v>
      </c>
      <c r="F5" s="73">
        <v>26.0</v>
      </c>
      <c r="G5" s="73">
        <f>F5</f>
        <v>26</v>
      </c>
      <c r="H5" s="75">
        <f>'4. Revenue and Volume '!P11</f>
        <v>46</v>
      </c>
      <c r="I5" s="3"/>
      <c r="J5" s="75">
        <f>'9. Multi-Year Projection'!B9</f>
        <v>46</v>
      </c>
      <c r="K5" s="75">
        <f>'9. Multi-Year Projection'!C9</f>
        <v>46</v>
      </c>
      <c r="L5" s="75">
        <f>'9. Multi-Year Projection'!D9</f>
        <v>55</v>
      </c>
      <c r="M5" s="75">
        <f>'9. Multi-Year Projection'!E9</f>
        <v>63</v>
      </c>
      <c r="N5" s="75">
        <f>'9. Multi-Year Projection'!F9</f>
        <v>70</v>
      </c>
      <c r="O5" s="75">
        <f>'9. Multi-Year Projection'!G9</f>
        <v>81</v>
      </c>
    </row>
    <row r="6" ht="15.75" customHeight="1">
      <c r="A6" s="72" t="s">
        <v>98</v>
      </c>
      <c r="B6" s="72" t="s">
        <v>99</v>
      </c>
      <c r="C6" s="77">
        <f>'3. Assumptions and Drivers'!C4</f>
        <v>6500</v>
      </c>
      <c r="D6" s="77">
        <f>'3. Assumptions and Drivers'!C4</f>
        <v>6500</v>
      </c>
      <c r="E6" s="77">
        <f>'3. Assumptions and Drivers'!$C$4*(1+'3. Assumptions and Drivers'!$C$5)</f>
        <v>6695</v>
      </c>
      <c r="F6" s="77">
        <f>E6*(1+'3. Assumptions and Drivers'!$C$5)</f>
        <v>6895.85</v>
      </c>
      <c r="G6" s="78">
        <v>0.0</v>
      </c>
      <c r="H6" s="77">
        <f>F6*(1+'3. Assumptions and Drivers'!$C$5)</f>
        <v>7102.7255</v>
      </c>
      <c r="I6" s="3"/>
      <c r="J6" s="77">
        <f>'9. Multi-Year Projection'!C17</f>
        <v>7315.807265</v>
      </c>
      <c r="K6" s="77">
        <f>'9. Multi-Year Projection'!D17</f>
        <v>7535.281483</v>
      </c>
      <c r="L6" s="77">
        <f>'9. Multi-Year Projection'!E17</f>
        <v>7761.339927</v>
      </c>
      <c r="M6" s="77">
        <f>'9. Multi-Year Projection'!F17</f>
        <v>7994.180125</v>
      </c>
      <c r="N6" s="77">
        <f>'9. Multi-Year Projection'!G17</f>
        <v>8234.005529</v>
      </c>
      <c r="O6" s="77">
        <f>'9. Multi-Year Projection'!H17</f>
        <v>8481.025695</v>
      </c>
    </row>
    <row r="7" ht="15.75" customHeight="1">
      <c r="A7" s="79" t="s">
        <v>100</v>
      </c>
      <c r="B7" s="72" t="s">
        <v>99</v>
      </c>
      <c r="C7" s="77">
        <f t="shared" ref="C7:D7" si="2">C6*C4</f>
        <v>325000</v>
      </c>
      <c r="D7" s="77">
        <f t="shared" si="2"/>
        <v>676000</v>
      </c>
      <c r="E7" s="77">
        <f>E4*E6</f>
        <v>1526460</v>
      </c>
      <c r="F7" s="77">
        <f>F4*('3. Assumptions and Drivers'!$C$4*(1+'3. Assumptions and Drivers'!$C$5))</f>
        <v>1894685</v>
      </c>
      <c r="G7" s="78">
        <v>0.0</v>
      </c>
      <c r="H7" s="80">
        <f>'4. Revenue and Volume '!P18</f>
        <v>2828012.91</v>
      </c>
      <c r="I7" s="3"/>
      <c r="J7" s="77">
        <f>'9. Multi-Year Projection'!B18</f>
        <v>2828012.91</v>
      </c>
      <c r="K7" s="77">
        <f>'9. Multi-Year Projection'!C18</f>
        <v>4974748.94</v>
      </c>
      <c r="L7" s="77">
        <f>'9. Multi-Year Projection'!D18</f>
        <v>6186466.098</v>
      </c>
      <c r="M7" s="77">
        <f>'9. Multi-Year Projection'!E18</f>
        <v>7303420.872</v>
      </c>
      <c r="N7" s="77">
        <f>'9. Multi-Year Projection'!F18</f>
        <v>8337929.871</v>
      </c>
      <c r="O7" s="77">
        <f>'9. Multi-Year Projection'!G18</f>
        <v>9971380.696</v>
      </c>
    </row>
    <row r="8" ht="15.75" customHeight="1">
      <c r="A8" s="72" t="s">
        <v>101</v>
      </c>
      <c r="B8" s="72" t="s">
        <v>55</v>
      </c>
      <c r="C8" s="81">
        <v>0.0</v>
      </c>
      <c r="D8" s="73">
        <v>28.0</v>
      </c>
      <c r="E8" s="73">
        <v>46.0</v>
      </c>
      <c r="F8" s="73">
        <v>73.0</v>
      </c>
      <c r="G8" s="82"/>
      <c r="H8" s="75">
        <f>ROUNDDOWN((F8/F4)*'4. Revenue and Volume '!I6,0)</f>
        <v>100</v>
      </c>
      <c r="I8" s="3"/>
      <c r="J8" s="83" t="s">
        <v>102</v>
      </c>
      <c r="K8" s="83" t="s">
        <v>102</v>
      </c>
      <c r="L8" s="83" t="s">
        <v>102</v>
      </c>
      <c r="M8" s="83" t="s">
        <v>102</v>
      </c>
      <c r="N8" s="83" t="s">
        <v>102</v>
      </c>
      <c r="O8" s="83" t="s">
        <v>102</v>
      </c>
    </row>
    <row r="9" ht="15.75" customHeight="1">
      <c r="A9" s="72" t="s">
        <v>103</v>
      </c>
      <c r="B9" s="72" t="s">
        <v>99</v>
      </c>
      <c r="C9" s="78">
        <v>0.0</v>
      </c>
      <c r="D9" s="77">
        <f>D8*'3. Assumptions and Drivers'!$C$7</f>
        <v>28000</v>
      </c>
      <c r="E9" s="77">
        <f>E8*('3. Assumptions and Drivers'!$C$7*(1+('3. Assumptions and Drivers'!$C$11)))</f>
        <v>46920</v>
      </c>
      <c r="F9" s="77">
        <f>F8*('3. Assumptions and Drivers'!$C$7*(1+('3. Assumptions and Drivers'!$C$11*2)))</f>
        <v>75920</v>
      </c>
      <c r="G9" s="78">
        <v>0.0</v>
      </c>
      <c r="H9" s="77">
        <f>H8*((F9/F8)*1+'3. Assumptions and Drivers'!C11)</f>
        <v>104002</v>
      </c>
      <c r="I9" s="3"/>
      <c r="J9" s="84" t="s">
        <v>102</v>
      </c>
      <c r="K9" s="84" t="s">
        <v>102</v>
      </c>
      <c r="L9" s="84" t="s">
        <v>102</v>
      </c>
      <c r="M9" s="84" t="s">
        <v>102</v>
      </c>
      <c r="N9" s="84" t="s">
        <v>102</v>
      </c>
      <c r="O9" s="84" t="s">
        <v>102</v>
      </c>
    </row>
    <row r="10" ht="15.75" customHeight="1">
      <c r="A10" s="72" t="s">
        <v>104</v>
      </c>
      <c r="B10" s="72" t="s">
        <v>55</v>
      </c>
      <c r="C10" s="78">
        <v>0.0</v>
      </c>
      <c r="D10" s="73">
        <v>35.0</v>
      </c>
      <c r="E10" s="73">
        <v>49.0</v>
      </c>
      <c r="F10" s="73">
        <v>52.0</v>
      </c>
      <c r="G10" s="78">
        <v>0.0</v>
      </c>
      <c r="H10" s="81">
        <f>ROUNDDOWN(((F10/F4)/2)*'4. Revenue and Volume '!F6,0)+ROUNDDOWN(((F10/F4)/2)*'4. Revenue and Volume '!N6,0)</f>
        <v>74</v>
      </c>
      <c r="I10" s="3"/>
      <c r="J10" s="84" t="s">
        <v>102</v>
      </c>
      <c r="K10" s="84" t="s">
        <v>102</v>
      </c>
      <c r="L10" s="84" t="s">
        <v>102</v>
      </c>
      <c r="M10" s="84" t="s">
        <v>102</v>
      </c>
      <c r="N10" s="84" t="s">
        <v>102</v>
      </c>
      <c r="O10" s="84" t="s">
        <v>102</v>
      </c>
    </row>
    <row r="11" ht="15.75" customHeight="1">
      <c r="A11" s="72" t="s">
        <v>105</v>
      </c>
      <c r="B11" s="72" t="s">
        <v>99</v>
      </c>
      <c r="C11" s="78">
        <v>0.0</v>
      </c>
      <c r="D11" s="77">
        <f>D10*'3. Assumptions and Drivers'!$C$9</f>
        <v>29750</v>
      </c>
      <c r="E11" s="77">
        <f>E10*('3. Assumptions and Drivers'!$C$9*(1+('3. Assumptions and Drivers'!$C$11)))</f>
        <v>42483</v>
      </c>
      <c r="F11" s="77">
        <f>F10*('3. Assumptions and Drivers'!$C$9*(1+('3. Assumptions and Drivers'!$C$11*2)))</f>
        <v>45968</v>
      </c>
      <c r="G11" s="78">
        <v>0.0</v>
      </c>
      <c r="H11" s="85">
        <f>H10*((F11/F10)*(1+'3. Assumptions and Drivers'!C11))</f>
        <v>66724.32</v>
      </c>
      <c r="I11" s="3"/>
      <c r="J11" s="86" t="s">
        <v>102</v>
      </c>
      <c r="K11" s="86" t="s">
        <v>102</v>
      </c>
      <c r="L11" s="86" t="s">
        <v>102</v>
      </c>
      <c r="M11" s="86" t="s">
        <v>102</v>
      </c>
      <c r="N11" s="86" t="s">
        <v>102</v>
      </c>
      <c r="O11" s="86" t="s">
        <v>102</v>
      </c>
    </row>
    <row r="12" ht="15.75" customHeight="1">
      <c r="A12" s="72" t="s">
        <v>106</v>
      </c>
      <c r="B12" s="72" t="s">
        <v>99</v>
      </c>
      <c r="C12" s="78">
        <v>0.0</v>
      </c>
      <c r="D12" s="87">
        <f>57750</f>
        <v>57750</v>
      </c>
      <c r="E12" s="88">
        <v>89403.0</v>
      </c>
      <c r="F12" s="88">
        <v>121888.0</v>
      </c>
      <c r="G12" s="78">
        <v>0.0</v>
      </c>
      <c r="H12" s="89">
        <f>SUM(H9,H11)</f>
        <v>170726.32</v>
      </c>
      <c r="I12" s="3"/>
      <c r="J12" s="77">
        <f>'9. Multi-Year Projection'!C19</f>
        <v>230488.5074</v>
      </c>
      <c r="K12" s="77">
        <f>'9. Multi-Year Projection'!D19</f>
        <v>283846.5968</v>
      </c>
      <c r="L12" s="77">
        <f>'9. Multi-Year Projection'!E19</f>
        <v>331841.2187</v>
      </c>
      <c r="M12" s="77">
        <f>'9. Multi-Year Projection'!F19</f>
        <v>375167.4803</v>
      </c>
      <c r="N12" s="77">
        <f>'9. Multi-Year Projection'!G19</f>
        <v>444309.0844</v>
      </c>
      <c r="O12" s="77">
        <f>'9. Multi-Year Projection'!H19</f>
        <v>506336.2469</v>
      </c>
    </row>
    <row r="13" ht="15.75" customHeight="1">
      <c r="A13" s="72" t="s">
        <v>107</v>
      </c>
      <c r="B13" s="72" t="s">
        <v>99</v>
      </c>
      <c r="C13" s="78">
        <v>0.0</v>
      </c>
      <c r="D13" s="88">
        <v>13520.0</v>
      </c>
      <c r="E13" s="88">
        <v>30529.0</v>
      </c>
      <c r="F13" s="88">
        <v>37893.0</v>
      </c>
      <c r="G13" s="78">
        <v>0.0</v>
      </c>
      <c r="H13" s="85">
        <f>H7*'3. Assumptions and Drivers'!G46</f>
        <v>84840.3873</v>
      </c>
      <c r="I13" s="3"/>
      <c r="J13" s="77">
        <f>'9. Multi-Year Projection'!C21</f>
        <v>156157.1234</v>
      </c>
      <c r="K13" s="77">
        <f>'9. Multi-Year Projection'!D21</f>
        <v>194109.3808</v>
      </c>
      <c r="L13" s="77">
        <f>'9. Multi-Year Projection'!E21</f>
        <v>229057.8627</v>
      </c>
      <c r="M13" s="77">
        <f>'9. Multi-Year Projection'!F21</f>
        <v>261392.9205</v>
      </c>
      <c r="N13" s="77">
        <f>'9. Multi-Year Projection'!G21</f>
        <v>312470.6934</v>
      </c>
      <c r="O13" s="77">
        <f>'9. Multi-Year Projection'!H21</f>
        <v>359434.9204</v>
      </c>
    </row>
    <row r="14" ht="15.75" customHeight="1">
      <c r="A14" s="72" t="s">
        <v>49</v>
      </c>
      <c r="B14" s="72" t="s">
        <v>99</v>
      </c>
      <c r="C14" s="78">
        <f t="shared" ref="C14:F14" si="3">C6*C4</f>
        <v>325000</v>
      </c>
      <c r="D14" s="78">
        <f t="shared" si="3"/>
        <v>676000</v>
      </c>
      <c r="E14" s="78">
        <f t="shared" si="3"/>
        <v>1526460</v>
      </c>
      <c r="F14" s="78">
        <f t="shared" si="3"/>
        <v>1951525.55</v>
      </c>
      <c r="G14" s="78">
        <v>0.0</v>
      </c>
      <c r="H14" s="90">
        <f>'9. Multi-Year Projection'!B20</f>
        <v>2998739.23</v>
      </c>
      <c r="I14" s="3"/>
      <c r="J14" s="50">
        <f>'9. Multi-Year Projection'!C20</f>
        <v>5205237.448</v>
      </c>
      <c r="K14" s="50">
        <f>'9. Multi-Year Projection'!D20</f>
        <v>6470312.694</v>
      </c>
      <c r="L14" s="50">
        <f>'9. Multi-Year Projection'!E20</f>
        <v>7635262.09</v>
      </c>
      <c r="M14" s="50">
        <f>'9. Multi-Year Projection'!F20</f>
        <v>8713097.351</v>
      </c>
      <c r="N14" s="50">
        <f>'9. Multi-Year Projection'!G20</f>
        <v>10415689.78</v>
      </c>
      <c r="O14" s="50">
        <f>'9. Multi-Year Projection'!H20</f>
        <v>11981164.01</v>
      </c>
    </row>
    <row r="15" ht="15.75" customHeight="1">
      <c r="A15" s="72" t="s">
        <v>108</v>
      </c>
      <c r="B15" s="3" t="s">
        <v>99</v>
      </c>
      <c r="C15" s="91">
        <v>285000.0</v>
      </c>
      <c r="D15" s="91">
        <v>662480.0</v>
      </c>
      <c r="E15" s="91">
        <v>852000.0</v>
      </c>
      <c r="F15" s="91">
        <v>1237000.0</v>
      </c>
      <c r="G15" s="78">
        <v>0.0</v>
      </c>
      <c r="H15" s="50">
        <f>N31</f>
        <v>1944492.923</v>
      </c>
      <c r="I15" s="3"/>
      <c r="J15" s="50">
        <f>'9. Multi-Year Projection'!C22-'9. Multi-Year Projection'!C25</f>
        <v>3775315.74</v>
      </c>
      <c r="K15" s="50">
        <f>'9. Multi-Year Projection'!D22-'9. Multi-Year Projection'!D25</f>
        <v>4738319.896</v>
      </c>
      <c r="L15" s="50">
        <f>'9. Multi-Year Projection'!E22-'9. Multi-Year Projection'!E25</f>
        <v>5643538.825</v>
      </c>
      <c r="M15" s="50">
        <f>'9. Multi-Year Projection'!F22-'9. Multi-Year Projection'!F25</f>
        <v>6497974.34</v>
      </c>
      <c r="N15" s="50">
        <f>'9. Multi-Year Projection'!G22-'9. Multi-Year Projection'!G25</f>
        <v>7834794.216</v>
      </c>
      <c r="O15" s="50">
        <f>'9. Multi-Year Projection'!H22-'9. Multi-Year Projection'!H25</f>
        <v>9087312.205</v>
      </c>
    </row>
    <row r="16" ht="15.75" customHeight="1">
      <c r="A16" s="72" t="s">
        <v>109</v>
      </c>
      <c r="B16" s="72" t="s">
        <v>110</v>
      </c>
      <c r="C16" s="92">
        <f t="shared" ref="C16:F16" si="4">C15/C14</f>
        <v>0.8769230769</v>
      </c>
      <c r="D16" s="92">
        <f t="shared" si="4"/>
        <v>0.98</v>
      </c>
      <c r="E16" s="92">
        <f t="shared" si="4"/>
        <v>0.5581541606</v>
      </c>
      <c r="F16" s="92">
        <f t="shared" si="4"/>
        <v>0.6338630821</v>
      </c>
      <c r="G16" s="78"/>
      <c r="H16" s="93">
        <f>H15/H14</f>
        <v>0.6484368176</v>
      </c>
      <c r="I16" s="3"/>
      <c r="J16" s="93">
        <f t="shared" ref="J16:O16" si="5">J15/J14</f>
        <v>0.7252917427</v>
      </c>
      <c r="K16" s="93">
        <f t="shared" si="5"/>
        <v>0.7323169868</v>
      </c>
      <c r="L16" s="93">
        <f t="shared" si="5"/>
        <v>0.7391414673</v>
      </c>
      <c r="M16" s="93">
        <f t="shared" si="5"/>
        <v>0.745770887</v>
      </c>
      <c r="N16" s="93">
        <f t="shared" si="5"/>
        <v>0.7522107879</v>
      </c>
      <c r="O16" s="93">
        <f t="shared" si="5"/>
        <v>0.758466556</v>
      </c>
    </row>
    <row r="17" ht="15.75" customHeight="1">
      <c r="A17" s="79" t="s">
        <v>56</v>
      </c>
      <c r="B17" s="79" t="s">
        <v>99</v>
      </c>
      <c r="C17" s="94">
        <f>C14-(C15*0.4)</f>
        <v>211000</v>
      </c>
      <c r="D17" s="95">
        <v>456719.0</v>
      </c>
      <c r="E17" s="95">
        <v>678295.0</v>
      </c>
      <c r="F17" s="94">
        <f>F14-(F15*0.9)</f>
        <v>838225.55</v>
      </c>
      <c r="G17" s="78">
        <v>0.0</v>
      </c>
      <c r="H17" s="77">
        <f>'6. OpEx and CapEx'!N21</f>
        <v>2299176.522</v>
      </c>
      <c r="I17" s="3"/>
      <c r="J17" s="77">
        <f>'9. Multi-Year Projection'!C28</f>
        <v>2619428.721</v>
      </c>
      <c r="K17" s="77">
        <f>'9. Multi-Year Projection'!D28</f>
        <v>3022876.05</v>
      </c>
      <c r="L17" s="77">
        <f>'9. Multi-Year Projection'!E28</f>
        <v>3387260.127</v>
      </c>
      <c r="M17" s="77">
        <f>'9. Multi-Year Projection'!F28</f>
        <v>3848417.356</v>
      </c>
      <c r="N17" s="77">
        <f>'9. Multi-Year Projection'!G28</f>
        <v>4303286.287</v>
      </c>
      <c r="O17" s="77">
        <f>'9. Multi-Year Projection'!H28</f>
        <v>4709751.421</v>
      </c>
    </row>
    <row r="18" ht="15.75" customHeight="1">
      <c r="A18" s="72" t="s">
        <v>53</v>
      </c>
      <c r="B18" s="72" t="s">
        <v>99</v>
      </c>
      <c r="C18" s="96">
        <f t="shared" ref="C18:F18" si="6">C15-C17</f>
        <v>74000</v>
      </c>
      <c r="D18" s="96">
        <f t="shared" si="6"/>
        <v>205761</v>
      </c>
      <c r="E18" s="96">
        <f t="shared" si="6"/>
        <v>173705</v>
      </c>
      <c r="F18" s="96">
        <f t="shared" si="6"/>
        <v>398774.45</v>
      </c>
      <c r="G18" s="78">
        <v>0.0</v>
      </c>
      <c r="H18" s="77">
        <f>'9. Multi-Year Projection'!B29</f>
        <v>609600.5312</v>
      </c>
      <c r="I18" s="3"/>
      <c r="J18" s="50">
        <f>'9. Multi-Year Projection'!C29</f>
        <v>2429651.603</v>
      </c>
      <c r="K18" s="50">
        <f>'9. Multi-Year Projection'!D29</f>
        <v>3253327.263</v>
      </c>
      <c r="L18" s="50">
        <f>'9. Multi-Year Projection'!E29</f>
        <v>4018944.101</v>
      </c>
      <c r="M18" s="50">
        <f>'9. Multi-Year Projection'!F29</f>
        <v>4603287.075</v>
      </c>
      <c r="N18" s="50">
        <f>'9. Multi-Year Projection'!G29</f>
        <v>5799932.799</v>
      </c>
      <c r="O18" s="50">
        <f>'9. Multi-Year Projection'!H29</f>
        <v>6911977.671</v>
      </c>
    </row>
    <row r="19" ht="15.75" customHeight="1">
      <c r="A19" s="72" t="s">
        <v>111</v>
      </c>
      <c r="B19" s="3" t="s">
        <v>110</v>
      </c>
      <c r="C19" s="97">
        <f t="shared" ref="C19:E19" si="7">C18/C15</f>
        <v>0.2596491228</v>
      </c>
      <c r="D19" s="97">
        <f t="shared" si="7"/>
        <v>0.3105920179</v>
      </c>
      <c r="E19" s="97">
        <f t="shared" si="7"/>
        <v>0.203879108</v>
      </c>
      <c r="F19" s="97">
        <f>F18/F14</f>
        <v>0.2043398561</v>
      </c>
      <c r="G19" s="78">
        <v>0.0</v>
      </c>
      <c r="H19" s="93">
        <f>'8. Financial Statements'!N9/H14</f>
        <v>0.2026461662</v>
      </c>
      <c r="I19" s="3"/>
      <c r="J19" s="93">
        <f t="shared" ref="J19:O19" si="8">J18/J14</f>
        <v>0.4667705608</v>
      </c>
      <c r="K19" s="93">
        <f t="shared" si="8"/>
        <v>0.5028083521</v>
      </c>
      <c r="L19" s="93">
        <f t="shared" si="8"/>
        <v>0.5263662273</v>
      </c>
      <c r="M19" s="93">
        <f t="shared" si="8"/>
        <v>0.5283181043</v>
      </c>
      <c r="N19" s="93">
        <f t="shared" si="8"/>
        <v>0.5568457703</v>
      </c>
      <c r="O19" s="93">
        <f t="shared" si="8"/>
        <v>0.5769036852</v>
      </c>
    </row>
    <row r="20" ht="15.75" customHeight="1">
      <c r="A20" s="72" t="s">
        <v>51</v>
      </c>
      <c r="B20" s="3" t="s">
        <v>99</v>
      </c>
      <c r="C20" s="98">
        <v>28768.0</v>
      </c>
      <c r="D20" s="99">
        <v>37856.0</v>
      </c>
      <c r="E20" s="99">
        <v>149592.8</v>
      </c>
      <c r="F20" s="99">
        <v>245892.2</v>
      </c>
      <c r="G20" s="100">
        <v>0.0</v>
      </c>
      <c r="H20" s="101">
        <f>'8. Financial Statements'!N17</f>
        <v>421764.7555</v>
      </c>
      <c r="I20" s="102"/>
      <c r="J20" s="103">
        <f>'9. Multi-Year Projection'!B39</f>
        <v>423145.7899</v>
      </c>
      <c r="K20" s="104">
        <f>'9. Multi-Year Projection'!C39</f>
        <v>1733306.21</v>
      </c>
      <c r="L20" s="104">
        <f>'9. Multi-Year Projection'!D39</f>
        <v>2327005.785</v>
      </c>
      <c r="M20" s="104">
        <f>'9. Multi-Year Projection'!E39</f>
        <v>2879033.249</v>
      </c>
      <c r="N20" s="104">
        <f>'9. Multi-Year Projection'!F39</f>
        <v>3300662.662</v>
      </c>
      <c r="O20" s="104">
        <f>'9. Multi-Year Projection'!G39</f>
        <v>4163459.651</v>
      </c>
    </row>
    <row r="21" ht="15.75" customHeight="1">
      <c r="A21" s="3"/>
      <c r="B21" s="3"/>
      <c r="D21" s="3"/>
      <c r="E21" s="3"/>
      <c r="F21" s="3"/>
      <c r="I21" s="3"/>
      <c r="J21" s="3"/>
      <c r="K21" s="3"/>
      <c r="L21" s="3"/>
      <c r="M21" s="3"/>
      <c r="N21" s="3"/>
      <c r="O21" s="3"/>
    </row>
    <row r="22" ht="15.75" customHeight="1">
      <c r="A22" s="58" t="s">
        <v>112</v>
      </c>
      <c r="C22" s="105">
        <f>'3. Assumptions and Drivers'!K33</f>
        <v>180000</v>
      </c>
      <c r="D22" s="106">
        <f>FV('3. Assumptions and Drivers'!$K$35/12, 12, PMT('3. Assumptions and Drivers'!$K$35/12, 84, -'3. Assumptions and Drivers'!$K$33), -'3. Assumptions and Drivers'!$K$33)
</f>
        <v>161612.76</v>
      </c>
      <c r="E22" s="106">
        <f>FV('3. Assumptions and Drivers'!$K$35/12, 24, PMT('3. Assumptions and Drivers'!$K$35/12, 84, -'3. Assumptions and Drivers'!$K$33), -'3. Assumptions and Drivers'!$K$33)
</f>
        <v>141199.1827</v>
      </c>
      <c r="F22" s="106">
        <f>FV('3. Assumptions and Drivers'!$K$35/12, 36, PMT('3. Assumptions and Drivers'!$K$35/12, 84, -'3. Assumptions and Drivers'!$K$33), -'3. Assumptions and Drivers'!$K$33)
</f>
        <v>118535.9588</v>
      </c>
      <c r="H22" s="106">
        <f>FV('3. Assumptions and Drivers'!$K$35/12, 48, PMT('3. Assumptions and Drivers'!$K$35/12, 84, -'3. Assumptions and Drivers'!$K$33), -'3. Assumptions and Drivers'!$K$33)
</f>
        <v>93375.16936</v>
      </c>
      <c r="J22" s="107">
        <f>FV('3. Assumptions and Drivers'!$K$35/12, 60, PMT('3. Assumptions and Drivers'!$K$35/12, 84, -'3. Assumptions and Drivers'!$K$33), -'3. Assumptions and Drivers'!$K$33)</f>
        <v>65441.57413</v>
      </c>
      <c r="K22" s="107">
        <f>FV('3. Assumptions and Drivers'!$K$35/12, 72, PMT('3. Assumptions and Drivers'!$K$35/12, 84, -'3. Assumptions and Drivers'!$K$33), -'3. Assumptions and Drivers'!$K$33)</f>
        <v>34429.60032</v>
      </c>
      <c r="L22" s="107">
        <f>FV('3. Assumptions and Drivers'!$K$35/12, 84, PMT('3. Assumptions and Drivers'!$K$35/12, 84, -'3. Assumptions and Drivers'!$K$33), -'3. Assumptions and Drivers'!$K$33)
</f>
        <v>0</v>
      </c>
      <c r="M22" s="107">
        <f>FV('3. Assumptions and Drivers'!$K$35/12, 84, PMT('3. Assumptions and Drivers'!$K$35/12, 84, -'3. Assumptions and Drivers'!$K$33), -'3. Assumptions and Drivers'!$K$33)
</f>
        <v>0</v>
      </c>
      <c r="N22" s="107">
        <f>FV('3. Assumptions and Drivers'!$K$35/12, 84, PMT('3. Assumptions and Drivers'!$K$35/12, 84, -'3. Assumptions and Drivers'!$K$33), -'3. Assumptions and Drivers'!$K$33)
</f>
        <v>0</v>
      </c>
      <c r="O22" s="107">
        <f>FV('3. Assumptions and Drivers'!$K$35/12, 84, PMT('3. Assumptions and Drivers'!$K$35/12, 84, -'3. Assumptions and Drivers'!$K$33), -'3. Assumptions and Drivers'!$K$33)
</f>
        <v>0</v>
      </c>
    </row>
    <row r="23" ht="15.75" customHeight="1">
      <c r="A23" s="108" t="s">
        <v>113</v>
      </c>
      <c r="O23" s="109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</row>
    <row r="24" ht="15.75" customHeight="1">
      <c r="B24" s="111"/>
      <c r="C24" s="112"/>
      <c r="D24" s="112"/>
      <c r="E24" s="112"/>
      <c r="F24" s="112"/>
      <c r="G24" s="113"/>
      <c r="H24" s="114"/>
      <c r="I24" s="114"/>
      <c r="J24" s="112"/>
      <c r="K24" s="112"/>
      <c r="L24" s="112"/>
      <c r="M24" s="112"/>
      <c r="N24" s="112"/>
      <c r="O24" s="115"/>
    </row>
    <row r="25" ht="15.75" customHeight="1">
      <c r="A25" s="116"/>
      <c r="C25" s="115"/>
      <c r="D25" s="115"/>
      <c r="E25" s="115"/>
      <c r="F25" s="115"/>
      <c r="G25" s="115"/>
      <c r="H25" s="45"/>
      <c r="I25" s="45"/>
      <c r="J25" s="115"/>
      <c r="K25" s="115"/>
      <c r="L25" s="115"/>
      <c r="M25" s="115"/>
      <c r="N25" s="115"/>
      <c r="O25" s="115"/>
    </row>
    <row r="26" ht="15.75" customHeight="1">
      <c r="A26" s="117" t="s">
        <v>114</v>
      </c>
      <c r="B26" s="114" t="s">
        <v>57</v>
      </c>
      <c r="C26" s="112" t="s">
        <v>59</v>
      </c>
      <c r="D26" s="112" t="s">
        <v>61</v>
      </c>
      <c r="E26" s="112" t="s">
        <v>63</v>
      </c>
      <c r="F26" s="112" t="s">
        <v>65</v>
      </c>
      <c r="G26" s="112" t="s">
        <v>67</v>
      </c>
      <c r="H26" s="114" t="s">
        <v>69</v>
      </c>
      <c r="I26" s="114" t="s">
        <v>71</v>
      </c>
      <c r="J26" s="112" t="s">
        <v>73</v>
      </c>
      <c r="K26" s="112" t="s">
        <v>75</v>
      </c>
      <c r="L26" s="112" t="s">
        <v>77</v>
      </c>
      <c r="M26" s="112" t="s">
        <v>79</v>
      </c>
      <c r="N26" s="112" t="s">
        <v>115</v>
      </c>
      <c r="O26" s="115"/>
    </row>
    <row r="27" ht="15.75" customHeight="1">
      <c r="A27" s="116" t="s">
        <v>49</v>
      </c>
      <c r="B27" s="45">
        <f>'8. Financial Statements'!B3</f>
        <v>170131.7678</v>
      </c>
      <c r="C27" s="45">
        <f>'8. Financial Statements'!C3</f>
        <v>177636.4064</v>
      </c>
      <c r="D27" s="45">
        <f>'8. Financial Statements'!D3</f>
        <v>188692.4078</v>
      </c>
      <c r="E27" s="45">
        <f>'8. Financial Statements'!E3</f>
        <v>233110.5692</v>
      </c>
      <c r="F27" s="45">
        <f>'8. Financial Statements'!F3</f>
        <v>210804.4105</v>
      </c>
      <c r="G27" s="45">
        <f>'8. Financial Statements'!G3</f>
        <v>227187.456</v>
      </c>
      <c r="H27" s="45">
        <f>'8. Financial Statements'!H3</f>
        <v>295571.5015</v>
      </c>
      <c r="I27" s="45">
        <f>'8. Financial Statements'!I3</f>
        <v>311954.547</v>
      </c>
      <c r="J27" s="45">
        <f>'8. Financial Statements'!J3</f>
        <v>271009.5484</v>
      </c>
      <c r="K27" s="45">
        <f>'8. Financial Statements'!K3</f>
        <v>282065.5498</v>
      </c>
      <c r="L27" s="45">
        <f>'8. Financial Statements'!L3</f>
        <v>293121.5512</v>
      </c>
      <c r="M27" s="45">
        <f>'8. Financial Statements'!M3</f>
        <v>337453.5144</v>
      </c>
      <c r="N27" s="45">
        <f>'8. Financial Statements'!N3</f>
        <v>2998739.23</v>
      </c>
      <c r="O27" s="115"/>
    </row>
    <row r="28" ht="15.75" customHeight="1">
      <c r="A28" s="116" t="s">
        <v>116</v>
      </c>
      <c r="B28" s="45">
        <f>'8. Financial Statements'!B4</f>
        <v>7070.032275</v>
      </c>
      <c r="C28" s="45">
        <f>'8. Financial Statements'!C4</f>
        <v>7070.032275</v>
      </c>
      <c r="D28" s="45">
        <f>'8. Financial Statements'!D4</f>
        <v>7396.306329</v>
      </c>
      <c r="E28" s="45">
        <f>'8. Financial Statements'!E4</f>
        <v>7391.404955</v>
      </c>
      <c r="F28" s="45">
        <f>'8. Financial Statements'!F4</f>
        <v>7387.116253</v>
      </c>
      <c r="G28" s="45">
        <f>'8. Financial Statements'!G4</f>
        <v>7730.955232</v>
      </c>
      <c r="H28" s="45">
        <f>'8. Financial Statements'!H4</f>
        <v>7718.019513</v>
      </c>
      <c r="I28" s="45">
        <f>'8. Financial Statements'!I4</f>
        <v>7723.838157</v>
      </c>
      <c r="J28" s="45">
        <f>'8. Financial Statements'!J4</f>
        <v>8015.970226</v>
      </c>
      <c r="K28" s="45">
        <f>'8. Financial Statements'!K4</f>
        <v>8029.555529</v>
      </c>
      <c r="L28" s="45">
        <f>'8. Financial Statements'!L4</f>
        <v>8020.407214</v>
      </c>
      <c r="M28" s="45">
        <f>'8. Financial Statements'!M4</f>
        <v>8326.061782</v>
      </c>
      <c r="N28" s="45">
        <f>'8. Financial Statements'!N4</f>
        <v>91879.69974</v>
      </c>
      <c r="O28" s="115"/>
    </row>
    <row r="29" ht="15.75" customHeight="1">
      <c r="A29" s="116" t="s">
        <v>117</v>
      </c>
      <c r="B29" s="45">
        <f>'8. Financial Statements'!B5</f>
        <v>163061.7355</v>
      </c>
      <c r="C29" s="45">
        <f>'8. Financial Statements'!C5</f>
        <v>170566.3741</v>
      </c>
      <c r="D29" s="45">
        <f>'8. Financial Statements'!D5</f>
        <v>181296.1015</v>
      </c>
      <c r="E29" s="45">
        <f>'8. Financial Statements'!E5</f>
        <v>225719.1642</v>
      </c>
      <c r="F29" s="45">
        <f>'8. Financial Statements'!F5</f>
        <v>203417.2943</v>
      </c>
      <c r="G29" s="45">
        <f>'8. Financial Statements'!G5</f>
        <v>219456.5008</v>
      </c>
      <c r="H29" s="45">
        <f>'8. Financial Statements'!H5</f>
        <v>287853.482</v>
      </c>
      <c r="I29" s="45">
        <f>'8. Financial Statements'!I5</f>
        <v>304230.7089</v>
      </c>
      <c r="J29" s="45">
        <f>'8. Financial Statements'!J5</f>
        <v>262993.5782</v>
      </c>
      <c r="K29" s="45">
        <f>'8. Financial Statements'!K5</f>
        <v>274035.9943</v>
      </c>
      <c r="L29" s="45">
        <f>'8. Financial Statements'!L5</f>
        <v>285101.1439</v>
      </c>
      <c r="M29" s="45">
        <f>'8. Financial Statements'!M5</f>
        <v>329127.4526</v>
      </c>
      <c r="N29" s="45">
        <f>'8. Financial Statements'!N5</f>
        <v>2906859.53</v>
      </c>
      <c r="O29" s="115"/>
    </row>
    <row r="30" ht="15.75" customHeight="1">
      <c r="A30" s="116" t="s">
        <v>118</v>
      </c>
      <c r="B30" s="45">
        <f>'8. Financial Statements'!B6</f>
        <v>56175.63315</v>
      </c>
      <c r="C30" s="45">
        <f>'8. Financial Statements'!C6</f>
        <v>67256.39981</v>
      </c>
      <c r="D30" s="45">
        <f>'8. Financial Statements'!D6</f>
        <v>69823.9904</v>
      </c>
      <c r="E30" s="45">
        <f>'8. Financial Statements'!E6</f>
        <v>71633.9552</v>
      </c>
      <c r="F30" s="45">
        <f>'8. Financial Statements'!F6</f>
        <v>71442.1904</v>
      </c>
      <c r="G30" s="45">
        <f>'8. Financial Statements'!G6</f>
        <v>75294.02629</v>
      </c>
      <c r="H30" s="45">
        <f>'8. Financial Statements'!H6</f>
        <v>92203.57296</v>
      </c>
      <c r="I30" s="45">
        <f>'8. Financial Statements'!I6</f>
        <v>93417.67296</v>
      </c>
      <c r="J30" s="45">
        <f>'8. Financial Statements'!J6</f>
        <v>90029.00707</v>
      </c>
      <c r="K30" s="45">
        <f>'8. Financial Statements'!K6</f>
        <v>90838.10707</v>
      </c>
      <c r="L30" s="45">
        <f>'8. Financial Statements'!L6</f>
        <v>91647.20707</v>
      </c>
      <c r="M30" s="45">
        <f>'8. Financial Statements'!M6</f>
        <v>92604.84481</v>
      </c>
      <c r="N30" s="45">
        <f>'8. Financial Statements'!N6</f>
        <v>962366.6072</v>
      </c>
      <c r="O30" s="115"/>
    </row>
    <row r="31" ht="15.75" customHeight="1">
      <c r="A31" s="116" t="s">
        <v>119</v>
      </c>
      <c r="B31" s="45">
        <f>'8. Financial Statements'!B7</f>
        <v>106886.1024</v>
      </c>
      <c r="C31" s="45">
        <f>'8. Financial Statements'!C7</f>
        <v>103309.9743</v>
      </c>
      <c r="D31" s="45">
        <f>'8. Financial Statements'!D7</f>
        <v>111472.1111</v>
      </c>
      <c r="E31" s="45">
        <f>'8. Financial Statements'!E7</f>
        <v>154085.209</v>
      </c>
      <c r="F31" s="45">
        <f>'8. Financial Statements'!F7</f>
        <v>131975.1039</v>
      </c>
      <c r="G31" s="45">
        <f>'8. Financial Statements'!G7</f>
        <v>144162.4745</v>
      </c>
      <c r="H31" s="45">
        <f>'8. Financial Statements'!H7</f>
        <v>195649.9091</v>
      </c>
      <c r="I31" s="45">
        <f>'8. Financial Statements'!I7</f>
        <v>210813.0359</v>
      </c>
      <c r="J31" s="45">
        <f>'8. Financial Statements'!J7</f>
        <v>172964.5711</v>
      </c>
      <c r="K31" s="45">
        <f>'8. Financial Statements'!K7</f>
        <v>183197.8872</v>
      </c>
      <c r="L31" s="45">
        <f>'8. Financial Statements'!L7</f>
        <v>193453.9369</v>
      </c>
      <c r="M31" s="45">
        <f>'8. Financial Statements'!M7</f>
        <v>236522.6078</v>
      </c>
      <c r="N31" s="45">
        <f>'8. Financial Statements'!N7</f>
        <v>1944492.923</v>
      </c>
      <c r="O31" s="115"/>
    </row>
    <row r="32" ht="15.75" customHeight="1">
      <c r="A32" s="116" t="s">
        <v>120</v>
      </c>
      <c r="B32" s="45">
        <f>'8. Financial Statements'!B8</f>
        <v>96407.29417</v>
      </c>
      <c r="C32" s="45">
        <f>'8. Financial Statements'!C8</f>
        <v>124418.7606</v>
      </c>
      <c r="D32" s="45">
        <f>'8. Financial Statements'!D8</f>
        <v>108958.2206</v>
      </c>
      <c r="E32" s="45">
        <f>'8. Financial Statements'!E8</f>
        <v>109111.0506</v>
      </c>
      <c r="F32" s="45">
        <f>'8. Financial Statements'!F8</f>
        <v>109263.8806</v>
      </c>
      <c r="G32" s="45">
        <f>'8. Financial Statements'!G8</f>
        <v>111573.1556</v>
      </c>
      <c r="H32" s="45">
        <f>'8. Financial Statements'!H8</f>
        <v>121495.3971</v>
      </c>
      <c r="I32" s="45">
        <f>'8. Financial Statements'!I8</f>
        <v>112474.7271</v>
      </c>
      <c r="J32" s="45">
        <f>'8. Financial Statements'!J8</f>
        <v>110547.6121</v>
      </c>
      <c r="K32" s="45">
        <f>'8. Financial Statements'!K8</f>
        <v>110700.4421</v>
      </c>
      <c r="L32" s="45">
        <f>'8. Financial Statements'!L8</f>
        <v>110853.2721</v>
      </c>
      <c r="M32" s="45">
        <f>'8. Financial Statements'!M8</f>
        <v>111006.1021</v>
      </c>
      <c r="N32" s="45">
        <f>'8. Financial Statements'!N8</f>
        <v>1336809.915</v>
      </c>
      <c r="O32" s="115"/>
    </row>
    <row r="33" ht="15.75" customHeight="1">
      <c r="A33" s="116" t="s">
        <v>53</v>
      </c>
      <c r="B33" s="45">
        <f>'8. Financial Statements'!B9</f>
        <v>10478.8082</v>
      </c>
      <c r="C33" s="45">
        <f>'8. Financial Statements'!C9</f>
        <v>-21108.7863</v>
      </c>
      <c r="D33" s="45">
        <f>'8. Financial Statements'!D9</f>
        <v>2513.890432</v>
      </c>
      <c r="E33" s="45">
        <f>'8. Financial Statements'!E9</f>
        <v>44974.15838</v>
      </c>
      <c r="F33" s="45">
        <f>'8. Financial Statements'!F9</f>
        <v>22711.22326</v>
      </c>
      <c r="G33" s="45">
        <f>'8. Financial Statements'!G9</f>
        <v>32589.31889</v>
      </c>
      <c r="H33" s="45">
        <f>'8. Financial Statements'!H9</f>
        <v>74154.51198</v>
      </c>
      <c r="I33" s="45">
        <f>'8. Financial Statements'!I9</f>
        <v>98338.30884</v>
      </c>
      <c r="J33" s="45">
        <f>'8. Financial Statements'!J9</f>
        <v>62416.95903</v>
      </c>
      <c r="K33" s="45">
        <f>'8. Financial Statements'!K9</f>
        <v>72497.4451</v>
      </c>
      <c r="L33" s="45">
        <f>'8. Financial Statements'!L9</f>
        <v>82600.66479</v>
      </c>
      <c r="M33" s="45">
        <f>'8. Financial Statements'!M9</f>
        <v>125516.5057</v>
      </c>
      <c r="N33" s="45">
        <f>'8. Financial Statements'!N9</f>
        <v>607683.0083</v>
      </c>
      <c r="O33" s="115"/>
    </row>
    <row r="34" ht="15.75" customHeight="1">
      <c r="A34" s="116" t="s">
        <v>121</v>
      </c>
      <c r="B34" s="45">
        <f>'8. Financial Statements'!B10</f>
        <v>574.7915</v>
      </c>
      <c r="C34" s="45">
        <f>'8. Financial Statements'!C10</f>
        <v>769.1367381</v>
      </c>
      <c r="D34" s="45">
        <f>'8. Financial Statements'!D10</f>
        <v>769.1367381</v>
      </c>
      <c r="E34" s="45">
        <f>'8. Financial Statements'!E10</f>
        <v>769.1367381</v>
      </c>
      <c r="F34" s="45">
        <f>'8. Financial Statements'!F10</f>
        <v>769.1367381</v>
      </c>
      <c r="G34" s="45">
        <f>'8. Financial Statements'!G10</f>
        <v>769.1367381</v>
      </c>
      <c r="H34" s="45">
        <f>'8. Financial Statements'!H10</f>
        <v>963.4819762</v>
      </c>
      <c r="I34" s="45">
        <f>'8. Financial Statements'!I10</f>
        <v>963.4819762</v>
      </c>
      <c r="J34" s="45">
        <f>'8. Financial Statements'!J10</f>
        <v>963.4819762</v>
      </c>
      <c r="K34" s="45">
        <f>'8. Financial Statements'!K10</f>
        <v>963.4819762</v>
      </c>
      <c r="L34" s="45">
        <f>'8. Financial Statements'!L10</f>
        <v>963.4819762</v>
      </c>
      <c r="M34" s="45">
        <f>'8. Financial Statements'!M10</f>
        <v>963.4819762</v>
      </c>
      <c r="N34" s="45">
        <f>'8. Financial Statements'!N10</f>
        <v>10201.36705</v>
      </c>
      <c r="O34" s="115"/>
    </row>
    <row r="35" ht="15.75" customHeight="1">
      <c r="A35" s="116" t="s">
        <v>122</v>
      </c>
      <c r="B35" s="45">
        <f>'8. Financial Statements'!B11</f>
        <v>9904.016702</v>
      </c>
      <c r="C35" s="45">
        <f>'8. Financial Statements'!C11</f>
        <v>-21877.92304</v>
      </c>
      <c r="D35" s="45">
        <f>'8. Financial Statements'!D11</f>
        <v>1744.753694</v>
      </c>
      <c r="E35" s="45">
        <f>'8. Financial Statements'!E11</f>
        <v>44205.02164</v>
      </c>
      <c r="F35" s="45">
        <f>'8. Financial Statements'!F11</f>
        <v>21942.08652</v>
      </c>
      <c r="G35" s="45">
        <f>'8. Financial Statements'!G11</f>
        <v>31820.18215</v>
      </c>
      <c r="H35" s="45">
        <f>'8. Financial Statements'!H11</f>
        <v>73191.03001</v>
      </c>
      <c r="I35" s="45">
        <f>'8. Financial Statements'!I11</f>
        <v>97374.82686</v>
      </c>
      <c r="J35" s="45">
        <f>'8. Financial Statements'!J11</f>
        <v>61453.47705</v>
      </c>
      <c r="K35" s="45">
        <f>'8. Financial Statements'!K11</f>
        <v>71533.96313</v>
      </c>
      <c r="L35" s="45">
        <f>'8. Financial Statements'!L11</f>
        <v>81637.18281</v>
      </c>
      <c r="M35" s="45">
        <f>'8. Financial Statements'!M11</f>
        <v>124553.0238</v>
      </c>
      <c r="N35" s="45">
        <f>'8. Financial Statements'!N11</f>
        <v>597481.6413</v>
      </c>
      <c r="O35" s="115"/>
    </row>
    <row r="36" ht="15.75" customHeight="1">
      <c r="A36" s="116" t="s">
        <v>123</v>
      </c>
      <c r="B36" s="45">
        <f>'8. Financial Statements'!B12</f>
        <v>1037.189639</v>
      </c>
      <c r="C36" s="45">
        <f>'8. Financial Statements'!C12</f>
        <v>1028.777333</v>
      </c>
      <c r="D36" s="45">
        <f>'8. Financial Statements'!D12</f>
        <v>1020.291419</v>
      </c>
      <c r="E36" s="45">
        <f>'8. Financial Statements'!E12</f>
        <v>1011.731254</v>
      </c>
      <c r="F36" s="45">
        <f>'8. Financial Statements'!F12</f>
        <v>1003.096187</v>
      </c>
      <c r="G36" s="45">
        <f>'8. Financial Statements'!G12</f>
        <v>994.3855628</v>
      </c>
      <c r="H36" s="45">
        <f>'8. Financial Statements'!H12</f>
        <v>985.598721</v>
      </c>
      <c r="I36" s="45">
        <f>'8. Financial Statements'!I12</f>
        <v>976.7349943</v>
      </c>
      <c r="J36" s="45">
        <f>'8. Financial Statements'!J12</f>
        <v>967.79371</v>
      </c>
      <c r="K36" s="45">
        <f>'8. Financial Statements'!K12</f>
        <v>958.7741894</v>
      </c>
      <c r="L36" s="45">
        <f>'8. Financial Statements'!L12</f>
        <v>949.6757481</v>
      </c>
      <c r="M36" s="45">
        <f>'8. Financial Statements'!M12</f>
        <v>940.4976954</v>
      </c>
      <c r="N36" s="45">
        <f>'8. Financial Statements'!N12</f>
        <v>11874.54645</v>
      </c>
      <c r="O36" s="115"/>
    </row>
    <row r="37" ht="15.75" customHeight="1">
      <c r="A37" s="116" t="s">
        <v>124</v>
      </c>
      <c r="B37" s="45">
        <f>'8. Financial Statements'!B13</f>
        <v>8866.827063</v>
      </c>
      <c r="C37" s="45">
        <f>'8. Financial Statements'!C13</f>
        <v>-22906.70037</v>
      </c>
      <c r="D37" s="45">
        <f>'8. Financial Statements'!D13</f>
        <v>724.4622743</v>
      </c>
      <c r="E37" s="45">
        <f>'8. Financial Statements'!E13</f>
        <v>43193.29039</v>
      </c>
      <c r="F37" s="45">
        <f>'8. Financial Statements'!F13</f>
        <v>20938.99033</v>
      </c>
      <c r="G37" s="45">
        <f>'8. Financial Statements'!G13</f>
        <v>30825.79659</v>
      </c>
      <c r="H37" s="45">
        <f>'8. Financial Statements'!H13</f>
        <v>72205.43129</v>
      </c>
      <c r="I37" s="45">
        <f>'8. Financial Statements'!I13</f>
        <v>96398.09187</v>
      </c>
      <c r="J37" s="45">
        <f>'8. Financial Statements'!J13</f>
        <v>60485.68334</v>
      </c>
      <c r="K37" s="45">
        <f>'8. Financial Statements'!K13</f>
        <v>70575.18894</v>
      </c>
      <c r="L37" s="45">
        <f>'8. Financial Statements'!L13</f>
        <v>80687.50707</v>
      </c>
      <c r="M37" s="45">
        <f>'8. Financial Statements'!M13</f>
        <v>123612.5261</v>
      </c>
      <c r="N37" s="45">
        <f>'8. Financial Statements'!N13</f>
        <v>585607.0948</v>
      </c>
      <c r="O37" s="115"/>
    </row>
    <row r="38" ht="15.75" customHeight="1">
      <c r="A38" s="116" t="s">
        <v>125</v>
      </c>
      <c r="B38" s="45">
        <f>'8. Financial Statements'!B14</f>
        <v>665.0120297</v>
      </c>
      <c r="C38" s="45">
        <f>'8. Financial Statements'!C14</f>
        <v>0</v>
      </c>
      <c r="D38" s="45">
        <f>'8. Financial Statements'!D14</f>
        <v>54.33467057</v>
      </c>
      <c r="E38" s="45">
        <f>'8. Financial Statements'!E14</f>
        <v>3239.496779</v>
      </c>
      <c r="F38" s="45">
        <f>'8. Financial Statements'!F14</f>
        <v>1570.424275</v>
      </c>
      <c r="G38" s="45">
        <f>'8. Financial Statements'!G14</f>
        <v>2311.934744</v>
      </c>
      <c r="H38" s="45">
        <f>'8. Financial Statements'!H14</f>
        <v>5415.407347</v>
      </c>
      <c r="I38" s="45">
        <f>'8. Financial Statements'!I14</f>
        <v>7229.85689</v>
      </c>
      <c r="J38" s="45">
        <f>'8. Financial Statements'!J14</f>
        <v>4536.426251</v>
      </c>
      <c r="K38" s="45">
        <f>'8. Financial Statements'!K14</f>
        <v>5293.13917</v>
      </c>
      <c r="L38" s="45">
        <f>'8. Financial Statements'!L14</f>
        <v>6051.56303</v>
      </c>
      <c r="M38" s="45">
        <f>'8. Financial Statements'!M14</f>
        <v>9270.939454</v>
      </c>
      <c r="N38" s="45">
        <f>'8. Financial Statements'!N14</f>
        <v>45638.53464</v>
      </c>
      <c r="O38" s="3"/>
    </row>
    <row r="39" ht="15.75" customHeight="1">
      <c r="A39" s="116" t="s">
        <v>126</v>
      </c>
      <c r="B39" s="45">
        <f>'8. Financial Statements'!B15</f>
        <v>1722.381157</v>
      </c>
      <c r="C39" s="45">
        <f>'8. Financial Statements'!C15</f>
        <v>0</v>
      </c>
      <c r="D39" s="45">
        <f>'8. Financial Statements'!D15</f>
        <v>140.7267968</v>
      </c>
      <c r="E39" s="45">
        <f>'8. Financial Statements'!E15</f>
        <v>8390.296658</v>
      </c>
      <c r="F39" s="45">
        <f>'8. Financial Statements'!F15</f>
        <v>4067.398872</v>
      </c>
      <c r="G39" s="45">
        <f>'8. Financial Statements'!G15</f>
        <v>5987.910988</v>
      </c>
      <c r="H39" s="45">
        <f>'8. Financial Statements'!H15</f>
        <v>14025.90503</v>
      </c>
      <c r="I39" s="45">
        <f>'8. Financial Statements'!I15</f>
        <v>18725.32935</v>
      </c>
      <c r="J39" s="45">
        <f>'8. Financial Statements'!J15</f>
        <v>11749.34399</v>
      </c>
      <c r="K39" s="45">
        <f>'8. Financial Statements'!K15</f>
        <v>13709.23045</v>
      </c>
      <c r="L39" s="45">
        <f>'8. Financial Statements'!L15</f>
        <v>15673.54825</v>
      </c>
      <c r="M39" s="45">
        <f>'8. Financial Statements'!M15</f>
        <v>24011.73319</v>
      </c>
      <c r="N39" s="45">
        <f>'8. Financial Statements'!N15</f>
        <v>118203.8047</v>
      </c>
      <c r="O39" s="3"/>
    </row>
    <row r="40" ht="15.75" customHeight="1">
      <c r="A40" s="116" t="s">
        <v>51</v>
      </c>
      <c r="B40" s="118">
        <f>'8. Financial Statements'!B17</f>
        <v>6479.433876</v>
      </c>
      <c r="C40" s="118">
        <f>'8. Financial Statements'!C17</f>
        <v>-22906.70037</v>
      </c>
      <c r="D40" s="118">
        <f>'8. Financial Statements'!D17</f>
        <v>529.400807</v>
      </c>
      <c r="E40" s="118">
        <f>'8. Financial Statements'!E17</f>
        <v>31563.49695</v>
      </c>
      <c r="F40" s="118">
        <f>'8. Financial Statements'!F17</f>
        <v>15301.16718</v>
      </c>
      <c r="G40" s="118">
        <f>'8. Financial Statements'!G17</f>
        <v>22525.95086</v>
      </c>
      <c r="H40" s="118">
        <f>'8. Financial Statements'!H17</f>
        <v>52764.11891</v>
      </c>
      <c r="I40" s="118">
        <f>'8. Financial Statements'!I17</f>
        <v>70442.90563</v>
      </c>
      <c r="J40" s="118">
        <f>'8. Financial Statements'!J17</f>
        <v>44199.9131</v>
      </c>
      <c r="K40" s="118">
        <f>'8. Financial Statements'!K17</f>
        <v>51572.81931</v>
      </c>
      <c r="L40" s="118">
        <f>'8. Financial Statements'!L17</f>
        <v>58962.39579</v>
      </c>
      <c r="M40" s="118">
        <f>'8. Financial Statements'!M17</f>
        <v>90329.85342</v>
      </c>
      <c r="N40" s="118">
        <f>'8. Financial Statements'!N17</f>
        <v>421764.7555</v>
      </c>
      <c r="O40" s="3"/>
    </row>
    <row r="41" ht="15.75" customHeight="1">
      <c r="A41" s="3"/>
      <c r="B41" s="3"/>
      <c r="C41" s="3"/>
      <c r="D41" s="3"/>
      <c r="E41" s="3"/>
      <c r="F41" s="3"/>
      <c r="I41" s="3"/>
      <c r="J41" s="3"/>
      <c r="K41" s="3"/>
      <c r="L41" s="3"/>
      <c r="M41" s="3"/>
      <c r="N41" s="3"/>
      <c r="O41" s="3"/>
    </row>
    <row r="42" ht="15.75" customHeight="1">
      <c r="A42" s="3"/>
      <c r="B42" s="3"/>
      <c r="C42" s="3"/>
      <c r="D42" s="3"/>
      <c r="E42" s="3"/>
      <c r="F42" s="3"/>
      <c r="I42" s="3"/>
      <c r="J42" s="3"/>
      <c r="K42" s="3"/>
      <c r="L42" s="3"/>
      <c r="M42" s="3"/>
      <c r="N42" s="3"/>
      <c r="O42" s="3"/>
    </row>
    <row r="43" ht="15.75" customHeight="1">
      <c r="A43" s="3"/>
      <c r="B43" s="3"/>
      <c r="C43" s="3"/>
      <c r="D43" s="3"/>
      <c r="E43" s="3"/>
      <c r="F43" s="3"/>
      <c r="I43" s="3"/>
      <c r="J43" s="3"/>
      <c r="K43" s="3"/>
      <c r="L43" s="3"/>
      <c r="M43" s="3"/>
      <c r="N43" s="3"/>
      <c r="O43" s="3"/>
    </row>
    <row r="44" ht="15.75" customHeight="1">
      <c r="A44" s="3"/>
      <c r="B44" s="3"/>
      <c r="C44" s="3"/>
      <c r="D44" s="3"/>
      <c r="E44" s="3"/>
      <c r="F44" s="3"/>
      <c r="I44" s="3"/>
      <c r="J44" s="3"/>
      <c r="K44" s="3"/>
      <c r="L44" s="3"/>
      <c r="M44" s="3"/>
      <c r="N44" s="3"/>
      <c r="O44" s="3"/>
    </row>
    <row r="45" ht="15.75" customHeight="1">
      <c r="A45" s="3"/>
      <c r="B45" s="3"/>
      <c r="C45" s="3"/>
      <c r="D45" s="3"/>
      <c r="E45" s="3"/>
      <c r="F45" s="3"/>
      <c r="I45" s="3"/>
      <c r="J45" s="3"/>
      <c r="K45" s="3"/>
      <c r="L45" s="3"/>
      <c r="M45" s="3"/>
      <c r="N45" s="3"/>
      <c r="O45" s="3"/>
    </row>
    <row r="46" ht="15.75" customHeight="1">
      <c r="A46" s="3"/>
      <c r="B46" s="3"/>
      <c r="C46" s="3"/>
      <c r="D46" s="3"/>
      <c r="E46" s="3"/>
      <c r="F46" s="3"/>
      <c r="I46" s="3"/>
      <c r="J46" s="3"/>
      <c r="K46" s="3"/>
      <c r="L46" s="3"/>
      <c r="M46" s="3"/>
      <c r="N46" s="3"/>
      <c r="O46" s="3"/>
    </row>
    <row r="47" ht="15.75" customHeight="1">
      <c r="A47" s="3"/>
      <c r="B47" s="3"/>
      <c r="C47" s="3"/>
      <c r="D47" s="3"/>
      <c r="E47" s="3"/>
      <c r="F47" s="3"/>
      <c r="I47" s="3"/>
      <c r="J47" s="3"/>
      <c r="K47" s="3"/>
      <c r="L47" s="3"/>
      <c r="M47" s="3"/>
      <c r="N47" s="3"/>
      <c r="O47" s="3"/>
    </row>
    <row r="48" ht="15.75" customHeight="1">
      <c r="A48" s="3"/>
      <c r="B48" s="3"/>
      <c r="C48" s="3"/>
      <c r="D48" s="3"/>
      <c r="E48" s="3"/>
      <c r="F48" s="3"/>
      <c r="I48" s="3"/>
      <c r="J48" s="3"/>
      <c r="K48" s="3"/>
      <c r="L48" s="3"/>
      <c r="M48" s="3"/>
      <c r="N48" s="3"/>
      <c r="O48" s="3"/>
    </row>
    <row r="49" ht="15.75" customHeight="1">
      <c r="A49" s="3"/>
      <c r="B49" s="3"/>
      <c r="C49" s="3"/>
      <c r="D49" s="3"/>
      <c r="E49" s="3"/>
      <c r="F49" s="3"/>
      <c r="I49" s="3"/>
      <c r="J49" s="3"/>
      <c r="K49" s="3"/>
      <c r="L49" s="3"/>
      <c r="M49" s="3"/>
      <c r="N49" s="3"/>
      <c r="O49" s="3"/>
    </row>
    <row r="50" ht="15.75" customHeight="1">
      <c r="A50" s="3"/>
      <c r="B50" s="3"/>
      <c r="C50" s="3"/>
      <c r="D50" s="3"/>
      <c r="E50" s="3"/>
      <c r="F50" s="3"/>
      <c r="I50" s="3"/>
      <c r="J50" s="3"/>
      <c r="K50" s="3"/>
      <c r="L50" s="3"/>
      <c r="M50" s="3"/>
      <c r="N50" s="3"/>
      <c r="O50" s="3"/>
    </row>
    <row r="51" ht="15.75" customHeight="1">
      <c r="A51" s="3"/>
      <c r="B51" s="3"/>
      <c r="C51" s="3"/>
      <c r="D51" s="3"/>
      <c r="E51" s="3"/>
      <c r="F51" s="3"/>
      <c r="I51" s="3"/>
      <c r="J51" s="3"/>
      <c r="K51" s="3"/>
      <c r="L51" s="3"/>
      <c r="M51" s="3"/>
      <c r="N51" s="3"/>
      <c r="O51" s="3"/>
    </row>
    <row r="52" ht="15.75" customHeight="1">
      <c r="A52" s="3"/>
      <c r="B52" s="3"/>
      <c r="C52" s="3"/>
      <c r="D52" s="3"/>
      <c r="E52" s="3"/>
      <c r="F52" s="3"/>
      <c r="I52" s="3"/>
      <c r="J52" s="3"/>
      <c r="K52" s="3"/>
      <c r="L52" s="3"/>
      <c r="M52" s="3"/>
      <c r="N52" s="3"/>
      <c r="O52" s="3"/>
    </row>
    <row r="53" ht="15.75" customHeight="1">
      <c r="A53" s="3"/>
      <c r="B53" s="3"/>
      <c r="C53" s="3"/>
      <c r="D53" s="3"/>
      <c r="E53" s="3"/>
      <c r="F53" s="3"/>
      <c r="I53" s="3"/>
      <c r="J53" s="3"/>
      <c r="K53" s="3"/>
      <c r="L53" s="3"/>
      <c r="M53" s="3"/>
      <c r="N53" s="3"/>
      <c r="O53" s="3"/>
    </row>
    <row r="54" ht="15.75" customHeight="1">
      <c r="A54" s="3"/>
      <c r="B54" s="3"/>
      <c r="C54" s="3"/>
      <c r="D54" s="3"/>
      <c r="E54" s="3"/>
      <c r="F54" s="3"/>
      <c r="I54" s="3"/>
      <c r="J54" s="3"/>
      <c r="K54" s="3"/>
      <c r="L54" s="3"/>
      <c r="M54" s="3"/>
      <c r="N54" s="3"/>
      <c r="O54" s="3"/>
    </row>
    <row r="55" ht="15.75" customHeight="1">
      <c r="A55" s="3"/>
      <c r="B55" s="3"/>
      <c r="C55" s="3"/>
      <c r="D55" s="3"/>
      <c r="E55" s="3"/>
      <c r="F55" s="3"/>
      <c r="I55" s="3"/>
      <c r="J55" s="3"/>
      <c r="K55" s="3"/>
      <c r="L55" s="3"/>
      <c r="M55" s="3"/>
      <c r="N55" s="3"/>
      <c r="O55" s="3"/>
    </row>
    <row r="56" ht="15.75" customHeight="1">
      <c r="A56" s="3"/>
      <c r="B56" s="3"/>
      <c r="C56" s="3"/>
      <c r="D56" s="3"/>
      <c r="E56" s="3"/>
      <c r="F56" s="3"/>
      <c r="I56" s="3"/>
      <c r="J56" s="3"/>
      <c r="K56" s="3"/>
      <c r="L56" s="3"/>
      <c r="M56" s="3"/>
      <c r="N56" s="3"/>
      <c r="O56" s="3"/>
    </row>
    <row r="57" ht="15.75" customHeight="1">
      <c r="A57" s="3"/>
      <c r="B57" s="3"/>
      <c r="C57" s="3"/>
      <c r="D57" s="3"/>
      <c r="E57" s="3"/>
      <c r="F57" s="3"/>
      <c r="I57" s="3"/>
      <c r="J57" s="3"/>
      <c r="K57" s="3"/>
      <c r="L57" s="3"/>
      <c r="M57" s="3"/>
      <c r="N57" s="3"/>
      <c r="O57" s="3"/>
    </row>
    <row r="58" ht="15.75" customHeight="1">
      <c r="A58" s="3"/>
      <c r="B58" s="3"/>
      <c r="C58" s="3"/>
      <c r="D58" s="3"/>
      <c r="E58" s="3"/>
      <c r="F58" s="3"/>
      <c r="I58" s="3"/>
      <c r="J58" s="3"/>
      <c r="K58" s="3"/>
      <c r="L58" s="3"/>
      <c r="M58" s="3"/>
      <c r="N58" s="3"/>
      <c r="O58" s="3"/>
    </row>
    <row r="59" ht="15.75" customHeight="1">
      <c r="A59" s="3"/>
      <c r="B59" s="3"/>
      <c r="C59" s="3"/>
      <c r="D59" s="3"/>
      <c r="E59" s="3"/>
      <c r="F59" s="3"/>
      <c r="I59" s="3"/>
      <c r="J59" s="3"/>
      <c r="K59" s="3"/>
      <c r="L59" s="3"/>
      <c r="M59" s="3"/>
      <c r="N59" s="3"/>
      <c r="O59" s="3"/>
    </row>
    <row r="60" ht="15.75" customHeight="1">
      <c r="A60" s="3"/>
      <c r="B60" s="3"/>
      <c r="C60" s="3"/>
      <c r="D60" s="3"/>
      <c r="E60" s="3"/>
      <c r="F60" s="3"/>
      <c r="I60" s="3"/>
      <c r="J60" s="3"/>
      <c r="K60" s="3"/>
      <c r="L60" s="3"/>
      <c r="M60" s="3"/>
      <c r="N60" s="3"/>
      <c r="O60" s="3"/>
    </row>
    <row r="61" ht="15.75" customHeight="1">
      <c r="A61" s="3"/>
      <c r="B61" s="3"/>
      <c r="C61" s="3"/>
      <c r="D61" s="3"/>
      <c r="E61" s="3"/>
      <c r="F61" s="3"/>
      <c r="I61" s="3"/>
      <c r="J61" s="3"/>
      <c r="K61" s="3"/>
      <c r="L61" s="3"/>
      <c r="M61" s="3"/>
      <c r="N61" s="3"/>
      <c r="O61" s="3"/>
    </row>
    <row r="62" ht="15.75" customHeight="1">
      <c r="A62" s="3"/>
      <c r="B62" s="3"/>
      <c r="C62" s="3"/>
      <c r="D62" s="3"/>
      <c r="E62" s="3"/>
      <c r="F62" s="3"/>
      <c r="I62" s="3"/>
      <c r="J62" s="3"/>
      <c r="K62" s="3"/>
      <c r="L62" s="3"/>
      <c r="M62" s="3"/>
      <c r="N62" s="3"/>
      <c r="O62" s="3"/>
    </row>
    <row r="63" ht="15.75" customHeight="1">
      <c r="A63" s="3"/>
      <c r="B63" s="3"/>
      <c r="C63" s="3"/>
      <c r="D63" s="3"/>
      <c r="E63" s="3"/>
      <c r="F63" s="3"/>
      <c r="I63" s="3"/>
      <c r="J63" s="3"/>
      <c r="K63" s="3"/>
      <c r="L63" s="3"/>
      <c r="M63" s="3"/>
      <c r="N63" s="3"/>
      <c r="O63" s="3"/>
    </row>
    <row r="64" ht="15.75" customHeight="1">
      <c r="A64" s="3"/>
      <c r="B64" s="3"/>
      <c r="C64" s="3"/>
      <c r="D64" s="3"/>
      <c r="E64" s="3"/>
      <c r="F64" s="3"/>
      <c r="I64" s="3"/>
      <c r="J64" s="3"/>
      <c r="K64" s="3"/>
      <c r="L64" s="3"/>
      <c r="M64" s="3"/>
      <c r="N64" s="3"/>
      <c r="O64" s="3"/>
    </row>
    <row r="65" ht="15.75" customHeight="1">
      <c r="A65" s="3"/>
      <c r="B65" s="3"/>
      <c r="C65" s="3"/>
      <c r="D65" s="3"/>
      <c r="E65" s="3"/>
      <c r="F65" s="3"/>
      <c r="I65" s="3"/>
      <c r="J65" s="3"/>
      <c r="K65" s="3"/>
      <c r="L65" s="3"/>
      <c r="M65" s="3"/>
      <c r="N65" s="3"/>
      <c r="O65" s="3"/>
    </row>
    <row r="66" ht="15.75" customHeight="1">
      <c r="A66" s="3"/>
      <c r="B66" s="3"/>
      <c r="C66" s="3"/>
      <c r="D66" s="3"/>
      <c r="E66" s="3"/>
      <c r="F66" s="3"/>
      <c r="I66" s="3"/>
      <c r="J66" s="3"/>
      <c r="K66" s="3"/>
      <c r="L66" s="3"/>
      <c r="M66" s="3"/>
      <c r="N66" s="3"/>
      <c r="O66" s="3"/>
    </row>
    <row r="67" ht="15.75" customHeight="1">
      <c r="A67" s="3"/>
      <c r="B67" s="3"/>
      <c r="C67" s="3"/>
      <c r="D67" s="3"/>
      <c r="E67" s="3"/>
      <c r="F67" s="3"/>
      <c r="I67" s="3"/>
      <c r="J67" s="3"/>
      <c r="K67" s="3"/>
      <c r="L67" s="3"/>
      <c r="M67" s="3"/>
      <c r="N67" s="3"/>
      <c r="O67" s="3"/>
    </row>
    <row r="68" ht="15.75" customHeight="1">
      <c r="A68" s="3"/>
      <c r="B68" s="3"/>
      <c r="C68" s="3"/>
      <c r="D68" s="3"/>
      <c r="E68" s="3"/>
      <c r="F68" s="3"/>
      <c r="I68" s="3"/>
      <c r="J68" s="3"/>
      <c r="K68" s="3"/>
      <c r="L68" s="3"/>
      <c r="M68" s="3"/>
      <c r="N68" s="3"/>
      <c r="O68" s="3"/>
    </row>
    <row r="69" ht="15.75" customHeight="1">
      <c r="A69" s="3"/>
      <c r="B69" s="3"/>
      <c r="C69" s="3"/>
      <c r="D69" s="3"/>
      <c r="E69" s="3"/>
      <c r="F69" s="3"/>
      <c r="I69" s="3"/>
      <c r="J69" s="3"/>
      <c r="K69" s="3"/>
      <c r="L69" s="3"/>
      <c r="M69" s="3"/>
      <c r="N69" s="3"/>
      <c r="O69" s="3"/>
    </row>
    <row r="70" ht="15.75" customHeight="1">
      <c r="A70" s="3"/>
      <c r="B70" s="3"/>
      <c r="C70" s="3"/>
      <c r="D70" s="3"/>
      <c r="E70" s="3"/>
      <c r="F70" s="3"/>
      <c r="I70" s="3"/>
      <c r="J70" s="3"/>
      <c r="K70" s="3"/>
      <c r="L70" s="3"/>
      <c r="M70" s="3"/>
      <c r="N70" s="3"/>
      <c r="O70" s="3"/>
    </row>
    <row r="71" ht="15.75" customHeight="1">
      <c r="A71" s="3"/>
      <c r="B71" s="3"/>
      <c r="C71" s="3"/>
      <c r="D71" s="3"/>
      <c r="E71" s="3"/>
      <c r="F71" s="3"/>
      <c r="I71" s="3"/>
      <c r="J71" s="3"/>
      <c r="K71" s="3"/>
      <c r="L71" s="3"/>
      <c r="M71" s="3"/>
      <c r="N71" s="3"/>
      <c r="O71" s="3"/>
    </row>
    <row r="72" ht="15.75" customHeight="1">
      <c r="A72" s="3"/>
      <c r="B72" s="3"/>
      <c r="C72" s="3"/>
      <c r="D72" s="3"/>
      <c r="E72" s="3"/>
      <c r="F72" s="3"/>
      <c r="I72" s="3"/>
      <c r="J72" s="3"/>
      <c r="K72" s="3"/>
      <c r="L72" s="3"/>
      <c r="M72" s="3"/>
      <c r="N72" s="3"/>
      <c r="O72" s="3"/>
    </row>
    <row r="73" ht="15.75" customHeight="1">
      <c r="A73" s="3"/>
      <c r="B73" s="3"/>
      <c r="C73" s="3"/>
      <c r="D73" s="3"/>
      <c r="E73" s="3"/>
      <c r="F73" s="3"/>
      <c r="I73" s="3"/>
      <c r="J73" s="3"/>
      <c r="K73" s="3"/>
      <c r="L73" s="3"/>
      <c r="M73" s="3"/>
      <c r="N73" s="3"/>
      <c r="O73" s="3"/>
    </row>
    <row r="74" ht="15.75" customHeight="1">
      <c r="A74" s="3"/>
      <c r="B74" s="3"/>
      <c r="C74" s="3"/>
      <c r="D74" s="3"/>
      <c r="E74" s="3"/>
      <c r="F74" s="3"/>
      <c r="I74" s="3"/>
      <c r="J74" s="3"/>
      <c r="K74" s="3"/>
      <c r="L74" s="3"/>
      <c r="M74" s="3"/>
      <c r="N74" s="3"/>
      <c r="O74" s="3"/>
    </row>
    <row r="75" ht="15.75" customHeight="1">
      <c r="A75" s="3"/>
      <c r="B75" s="3"/>
      <c r="C75" s="3"/>
      <c r="D75" s="3"/>
      <c r="E75" s="3"/>
      <c r="F75" s="3"/>
      <c r="I75" s="3"/>
      <c r="J75" s="3"/>
      <c r="K75" s="3"/>
      <c r="L75" s="3"/>
      <c r="M75" s="3"/>
      <c r="N75" s="3"/>
      <c r="O75" s="3"/>
    </row>
    <row r="76" ht="15.75" customHeight="1">
      <c r="A76" s="3"/>
      <c r="B76" s="3"/>
      <c r="C76" s="3"/>
      <c r="D76" s="3"/>
      <c r="E76" s="3"/>
      <c r="F76" s="3"/>
      <c r="I76" s="3"/>
      <c r="J76" s="3"/>
      <c r="K76" s="3"/>
      <c r="L76" s="3"/>
      <c r="M76" s="3"/>
      <c r="N76" s="3"/>
      <c r="O76" s="3"/>
    </row>
    <row r="77" ht="15.75" customHeight="1">
      <c r="A77" s="3"/>
      <c r="B77" s="3"/>
      <c r="C77" s="3"/>
      <c r="D77" s="3"/>
      <c r="E77" s="3"/>
      <c r="F77" s="3"/>
      <c r="I77" s="3"/>
      <c r="J77" s="3"/>
      <c r="K77" s="3"/>
      <c r="L77" s="3"/>
      <c r="M77" s="3"/>
      <c r="N77" s="3"/>
      <c r="O77" s="3"/>
    </row>
    <row r="78" ht="15.75" customHeight="1">
      <c r="A78" s="3"/>
      <c r="B78" s="3"/>
      <c r="C78" s="3"/>
      <c r="D78" s="3"/>
      <c r="E78" s="3"/>
      <c r="F78" s="3"/>
      <c r="I78" s="3"/>
      <c r="J78" s="3"/>
      <c r="K78" s="3"/>
      <c r="L78" s="3"/>
      <c r="M78" s="3"/>
      <c r="N78" s="3"/>
      <c r="O78" s="3"/>
    </row>
    <row r="79" ht="15.75" customHeight="1">
      <c r="A79" s="3"/>
      <c r="B79" s="3"/>
      <c r="C79" s="3"/>
      <c r="D79" s="3"/>
      <c r="E79" s="3"/>
      <c r="F79" s="3"/>
      <c r="I79" s="3"/>
      <c r="J79" s="3"/>
      <c r="K79" s="3"/>
      <c r="L79" s="3"/>
      <c r="M79" s="3"/>
      <c r="N79" s="3"/>
      <c r="O79" s="3"/>
    </row>
    <row r="80" ht="15.75" customHeight="1">
      <c r="A80" s="3"/>
      <c r="B80" s="3"/>
      <c r="C80" s="3"/>
      <c r="D80" s="3"/>
      <c r="E80" s="3"/>
      <c r="F80" s="3"/>
      <c r="I80" s="3"/>
      <c r="J80" s="3"/>
      <c r="K80" s="3"/>
      <c r="L80" s="3"/>
      <c r="M80" s="3"/>
      <c r="N80" s="3"/>
      <c r="O80" s="3"/>
    </row>
    <row r="81" ht="15.75" customHeight="1">
      <c r="A81" s="3"/>
      <c r="B81" s="3"/>
      <c r="C81" s="3"/>
      <c r="D81" s="3"/>
      <c r="E81" s="3"/>
      <c r="F81" s="3"/>
      <c r="I81" s="3"/>
      <c r="J81" s="3"/>
      <c r="K81" s="3"/>
      <c r="L81" s="3"/>
      <c r="M81" s="3"/>
      <c r="N81" s="3"/>
      <c r="O81" s="3"/>
    </row>
    <row r="82" ht="15.75" customHeight="1">
      <c r="A82" s="3"/>
      <c r="B82" s="3"/>
      <c r="C82" s="3"/>
      <c r="D82" s="3"/>
      <c r="E82" s="3"/>
      <c r="F82" s="3"/>
      <c r="I82" s="3"/>
      <c r="J82" s="3"/>
      <c r="K82" s="3"/>
      <c r="L82" s="3"/>
      <c r="M82" s="3"/>
      <c r="N82" s="3"/>
      <c r="O82" s="3"/>
    </row>
    <row r="83" ht="15.75" customHeight="1">
      <c r="A83" s="3"/>
      <c r="B83" s="3"/>
      <c r="C83" s="3"/>
      <c r="D83" s="3"/>
      <c r="E83" s="3"/>
      <c r="F83" s="3"/>
      <c r="I83" s="3"/>
      <c r="J83" s="3"/>
      <c r="K83" s="3"/>
      <c r="L83" s="3"/>
      <c r="M83" s="3"/>
      <c r="N83" s="3"/>
      <c r="O83" s="3"/>
    </row>
    <row r="84" ht="15.75" customHeight="1">
      <c r="A84" s="3"/>
      <c r="B84" s="3"/>
      <c r="C84" s="3"/>
      <c r="D84" s="3"/>
      <c r="E84" s="3"/>
      <c r="F84" s="3"/>
      <c r="I84" s="3"/>
      <c r="J84" s="3"/>
      <c r="K84" s="3"/>
      <c r="L84" s="3"/>
      <c r="M84" s="3"/>
      <c r="N84" s="3"/>
      <c r="O84" s="3"/>
    </row>
    <row r="85" ht="15.75" customHeight="1">
      <c r="A85" s="3"/>
      <c r="B85" s="3"/>
      <c r="C85" s="3"/>
      <c r="D85" s="3"/>
      <c r="E85" s="3"/>
      <c r="F85" s="3"/>
      <c r="I85" s="3"/>
      <c r="J85" s="3"/>
      <c r="K85" s="3"/>
      <c r="L85" s="3"/>
      <c r="M85" s="3"/>
      <c r="N85" s="3"/>
      <c r="O85" s="3"/>
    </row>
    <row r="86" ht="15.75" customHeight="1">
      <c r="A86" s="3"/>
      <c r="B86" s="3"/>
      <c r="C86" s="3"/>
      <c r="D86" s="3"/>
      <c r="E86" s="3"/>
      <c r="F86" s="3"/>
      <c r="I86" s="3"/>
      <c r="J86" s="3"/>
      <c r="K86" s="3"/>
      <c r="L86" s="3"/>
      <c r="M86" s="3"/>
      <c r="N86" s="3"/>
      <c r="O86" s="3"/>
    </row>
    <row r="87" ht="15.75" customHeight="1">
      <c r="A87" s="3"/>
      <c r="B87" s="3"/>
      <c r="C87" s="3"/>
      <c r="D87" s="3"/>
      <c r="E87" s="3"/>
      <c r="F87" s="3"/>
      <c r="I87" s="3"/>
      <c r="J87" s="3"/>
      <c r="K87" s="3"/>
      <c r="L87" s="3"/>
      <c r="M87" s="3"/>
      <c r="N87" s="3"/>
      <c r="O87" s="3"/>
    </row>
    <row r="88" ht="15.75" customHeight="1">
      <c r="A88" s="3"/>
      <c r="B88" s="3"/>
      <c r="C88" s="3"/>
      <c r="D88" s="3"/>
      <c r="E88" s="3"/>
      <c r="F88" s="3"/>
      <c r="I88" s="3"/>
      <c r="J88" s="3"/>
      <c r="K88" s="3"/>
      <c r="L88" s="3"/>
      <c r="M88" s="3"/>
      <c r="N88" s="3"/>
      <c r="O88" s="3"/>
    </row>
    <row r="89" ht="15.75" customHeight="1">
      <c r="A89" s="3"/>
      <c r="B89" s="3"/>
      <c r="C89" s="3"/>
      <c r="D89" s="3"/>
      <c r="E89" s="3"/>
      <c r="F89" s="3"/>
      <c r="I89" s="3"/>
      <c r="J89" s="3"/>
      <c r="K89" s="3"/>
      <c r="L89" s="3"/>
      <c r="M89" s="3"/>
      <c r="N89" s="3"/>
      <c r="O89" s="3"/>
    </row>
    <row r="90" ht="15.75" customHeight="1">
      <c r="A90" s="3"/>
      <c r="B90" s="3"/>
      <c r="C90" s="3"/>
      <c r="D90" s="3"/>
      <c r="E90" s="3"/>
      <c r="F90" s="3"/>
      <c r="I90" s="3"/>
      <c r="J90" s="3"/>
      <c r="K90" s="3"/>
      <c r="L90" s="3"/>
      <c r="M90" s="3"/>
      <c r="N90" s="3"/>
      <c r="O90" s="3"/>
    </row>
    <row r="91" ht="15.75" customHeight="1">
      <c r="A91" s="3"/>
      <c r="B91" s="3"/>
      <c r="C91" s="3"/>
      <c r="D91" s="3"/>
      <c r="E91" s="3"/>
      <c r="F91" s="3"/>
      <c r="I91" s="3"/>
      <c r="J91" s="3"/>
      <c r="K91" s="3"/>
      <c r="L91" s="3"/>
      <c r="M91" s="3"/>
      <c r="N91" s="3"/>
      <c r="O91" s="3"/>
    </row>
    <row r="92" ht="15.75" customHeight="1">
      <c r="A92" s="3"/>
      <c r="B92" s="3"/>
      <c r="C92" s="3"/>
      <c r="D92" s="3"/>
      <c r="E92" s="3"/>
      <c r="F92" s="3"/>
      <c r="I92" s="3"/>
      <c r="J92" s="3"/>
      <c r="K92" s="3"/>
      <c r="L92" s="3"/>
      <c r="M92" s="3"/>
      <c r="N92" s="3"/>
      <c r="O92" s="3"/>
    </row>
    <row r="93" ht="15.75" customHeight="1">
      <c r="A93" s="3"/>
      <c r="B93" s="3"/>
      <c r="C93" s="3"/>
      <c r="D93" s="3"/>
      <c r="E93" s="3"/>
      <c r="F93" s="3"/>
      <c r="I93" s="3"/>
      <c r="J93" s="3"/>
      <c r="K93" s="3"/>
      <c r="L93" s="3"/>
      <c r="M93" s="3"/>
      <c r="N93" s="3"/>
      <c r="O93" s="3"/>
    </row>
    <row r="94" ht="15.75" customHeight="1">
      <c r="A94" s="3"/>
      <c r="B94" s="3"/>
      <c r="C94" s="3"/>
      <c r="D94" s="3"/>
      <c r="E94" s="3"/>
      <c r="F94" s="3"/>
      <c r="I94" s="3"/>
      <c r="J94" s="3"/>
      <c r="K94" s="3"/>
      <c r="L94" s="3"/>
      <c r="M94" s="3"/>
      <c r="N94" s="3"/>
      <c r="O94" s="3"/>
    </row>
    <row r="95" ht="15.75" customHeight="1">
      <c r="A95" s="3"/>
      <c r="B95" s="3"/>
      <c r="C95" s="3"/>
      <c r="D95" s="3"/>
      <c r="E95" s="3"/>
      <c r="F95" s="3"/>
      <c r="I95" s="3"/>
      <c r="J95" s="3"/>
      <c r="K95" s="3"/>
      <c r="L95" s="3"/>
      <c r="M95" s="3"/>
      <c r="N95" s="3"/>
      <c r="O95" s="3"/>
    </row>
    <row r="96" ht="15.75" customHeight="1">
      <c r="A96" s="3"/>
      <c r="B96" s="3"/>
      <c r="C96" s="3"/>
      <c r="D96" s="3"/>
      <c r="E96" s="3"/>
      <c r="F96" s="3"/>
      <c r="I96" s="3"/>
      <c r="J96" s="3"/>
      <c r="K96" s="3"/>
      <c r="L96" s="3"/>
      <c r="M96" s="3"/>
      <c r="N96" s="3"/>
      <c r="O96" s="3"/>
    </row>
    <row r="97" ht="15.75" customHeight="1">
      <c r="A97" s="3"/>
      <c r="B97" s="3"/>
      <c r="C97" s="3"/>
      <c r="D97" s="3"/>
      <c r="E97" s="3"/>
      <c r="F97" s="3"/>
      <c r="I97" s="3"/>
      <c r="J97" s="3"/>
      <c r="K97" s="3"/>
      <c r="L97" s="3"/>
      <c r="M97" s="3"/>
      <c r="N97" s="3"/>
      <c r="O97" s="3"/>
    </row>
    <row r="98" ht="15.75" customHeight="1">
      <c r="A98" s="3"/>
      <c r="B98" s="3"/>
      <c r="C98" s="3"/>
      <c r="D98" s="3"/>
      <c r="E98" s="3"/>
      <c r="F98" s="3"/>
      <c r="I98" s="3"/>
      <c r="J98" s="3"/>
      <c r="K98" s="3"/>
      <c r="L98" s="3"/>
      <c r="M98" s="3"/>
      <c r="N98" s="3"/>
      <c r="O98" s="3"/>
    </row>
    <row r="99" ht="15.75" customHeight="1">
      <c r="A99" s="3"/>
      <c r="B99" s="3"/>
      <c r="C99" s="3"/>
      <c r="D99" s="3"/>
      <c r="E99" s="3"/>
      <c r="F99" s="3"/>
      <c r="I99" s="3"/>
      <c r="J99" s="3"/>
      <c r="K99" s="3"/>
      <c r="L99" s="3"/>
      <c r="M99" s="3"/>
      <c r="N99" s="3"/>
      <c r="O99" s="3"/>
    </row>
    <row r="100" ht="15.75" customHeight="1">
      <c r="A100" s="3"/>
      <c r="B100" s="3"/>
      <c r="C100" s="3"/>
      <c r="D100" s="3"/>
      <c r="E100" s="3"/>
      <c r="F100" s="3"/>
      <c r="I100" s="3"/>
      <c r="J100" s="3"/>
      <c r="K100" s="3"/>
      <c r="L100" s="3"/>
      <c r="M100" s="3"/>
      <c r="N100" s="3"/>
      <c r="O100" s="3"/>
    </row>
    <row r="101" ht="15.75" customHeight="1">
      <c r="A101" s="3"/>
      <c r="B101" s="3"/>
      <c r="C101" s="3"/>
      <c r="D101" s="3"/>
      <c r="E101" s="3"/>
      <c r="F101" s="3"/>
      <c r="I101" s="3"/>
      <c r="J101" s="3"/>
      <c r="K101" s="3"/>
      <c r="L101" s="3"/>
      <c r="M101" s="3"/>
      <c r="N101" s="3"/>
      <c r="O101" s="3"/>
    </row>
    <row r="102" ht="15.75" customHeight="1">
      <c r="A102" s="3"/>
      <c r="B102" s="3"/>
      <c r="C102" s="3"/>
      <c r="D102" s="3"/>
      <c r="E102" s="3"/>
      <c r="F102" s="3"/>
      <c r="I102" s="3"/>
      <c r="J102" s="3"/>
      <c r="K102" s="3"/>
      <c r="L102" s="3"/>
      <c r="M102" s="3"/>
      <c r="N102" s="3"/>
      <c r="O102" s="3"/>
    </row>
    <row r="103" ht="15.75" customHeight="1">
      <c r="A103" s="3"/>
      <c r="B103" s="3"/>
      <c r="C103" s="3"/>
      <c r="D103" s="3"/>
      <c r="E103" s="3"/>
      <c r="F103" s="3"/>
      <c r="I103" s="3"/>
      <c r="J103" s="3"/>
      <c r="K103" s="3"/>
      <c r="L103" s="3"/>
      <c r="M103" s="3"/>
      <c r="N103" s="3"/>
      <c r="O103" s="3"/>
    </row>
    <row r="104" ht="15.75" customHeight="1">
      <c r="A104" s="3"/>
      <c r="B104" s="3"/>
      <c r="C104" s="3"/>
      <c r="D104" s="3"/>
      <c r="E104" s="3"/>
      <c r="F104" s="3"/>
      <c r="I104" s="3"/>
      <c r="J104" s="3"/>
      <c r="K104" s="3"/>
      <c r="L104" s="3"/>
      <c r="M104" s="3"/>
      <c r="N104" s="3"/>
      <c r="O104" s="3"/>
    </row>
    <row r="105" ht="15.75" customHeight="1">
      <c r="A105" s="3"/>
      <c r="B105" s="3"/>
      <c r="C105" s="3"/>
      <c r="D105" s="3"/>
      <c r="E105" s="3"/>
      <c r="F105" s="3"/>
      <c r="I105" s="3"/>
      <c r="J105" s="3"/>
      <c r="K105" s="3"/>
      <c r="L105" s="3"/>
      <c r="M105" s="3"/>
      <c r="N105" s="3"/>
      <c r="O105" s="3"/>
    </row>
    <row r="106" ht="15.75" customHeight="1">
      <c r="A106" s="3"/>
      <c r="B106" s="3"/>
      <c r="C106" s="3"/>
      <c r="D106" s="3"/>
      <c r="E106" s="3"/>
      <c r="F106" s="3"/>
      <c r="I106" s="3"/>
      <c r="J106" s="3"/>
      <c r="K106" s="3"/>
      <c r="L106" s="3"/>
      <c r="M106" s="3"/>
      <c r="N106" s="3"/>
      <c r="O106" s="3"/>
    </row>
    <row r="107" ht="15.75" customHeight="1">
      <c r="A107" s="3"/>
      <c r="B107" s="3"/>
      <c r="C107" s="3"/>
      <c r="D107" s="3"/>
      <c r="E107" s="3"/>
      <c r="F107" s="3"/>
      <c r="I107" s="3"/>
      <c r="J107" s="3"/>
      <c r="K107" s="3"/>
      <c r="L107" s="3"/>
      <c r="M107" s="3"/>
      <c r="N107" s="3"/>
      <c r="O107" s="3"/>
    </row>
    <row r="108" ht="15.75" customHeight="1">
      <c r="A108" s="3"/>
      <c r="B108" s="3"/>
      <c r="C108" s="3"/>
      <c r="D108" s="3"/>
      <c r="E108" s="3"/>
      <c r="F108" s="3"/>
      <c r="I108" s="3"/>
      <c r="J108" s="3"/>
      <c r="K108" s="3"/>
      <c r="L108" s="3"/>
      <c r="M108" s="3"/>
      <c r="N108" s="3"/>
      <c r="O108" s="3"/>
    </row>
    <row r="109" ht="15.75" customHeight="1">
      <c r="A109" s="3"/>
      <c r="B109" s="3"/>
      <c r="C109" s="3"/>
      <c r="D109" s="3"/>
      <c r="E109" s="3"/>
      <c r="F109" s="3"/>
      <c r="I109" s="3"/>
      <c r="J109" s="3"/>
      <c r="K109" s="3"/>
      <c r="L109" s="3"/>
      <c r="M109" s="3"/>
      <c r="N109" s="3"/>
      <c r="O109" s="3"/>
    </row>
    <row r="110" ht="15.75" customHeight="1">
      <c r="A110" s="3"/>
      <c r="B110" s="3"/>
      <c r="C110" s="3"/>
      <c r="D110" s="3"/>
      <c r="E110" s="3"/>
      <c r="F110" s="3"/>
      <c r="I110" s="3"/>
      <c r="J110" s="3"/>
      <c r="K110" s="3"/>
      <c r="L110" s="3"/>
      <c r="M110" s="3"/>
      <c r="N110" s="3"/>
      <c r="O110" s="3"/>
    </row>
    <row r="111" ht="15.75" customHeight="1">
      <c r="A111" s="3"/>
      <c r="B111" s="3"/>
      <c r="C111" s="3"/>
      <c r="D111" s="3"/>
      <c r="E111" s="3"/>
      <c r="F111" s="3"/>
      <c r="I111" s="3"/>
      <c r="J111" s="3"/>
      <c r="K111" s="3"/>
      <c r="L111" s="3"/>
      <c r="M111" s="3"/>
      <c r="N111" s="3"/>
      <c r="O111" s="3"/>
    </row>
    <row r="112" ht="15.75" customHeight="1">
      <c r="A112" s="3"/>
      <c r="B112" s="3"/>
      <c r="C112" s="3"/>
      <c r="D112" s="3"/>
      <c r="E112" s="3"/>
      <c r="F112" s="3"/>
      <c r="I112" s="3"/>
      <c r="J112" s="3"/>
      <c r="K112" s="3"/>
      <c r="L112" s="3"/>
      <c r="M112" s="3"/>
      <c r="N112" s="3"/>
      <c r="O112" s="3"/>
    </row>
    <row r="113" ht="15.75" customHeight="1">
      <c r="A113" s="3"/>
      <c r="B113" s="3"/>
      <c r="C113" s="3"/>
      <c r="D113" s="3"/>
      <c r="E113" s="3"/>
      <c r="F113" s="3"/>
      <c r="I113" s="3"/>
      <c r="J113" s="3"/>
      <c r="K113" s="3"/>
      <c r="L113" s="3"/>
      <c r="M113" s="3"/>
      <c r="N113" s="3"/>
      <c r="O113" s="3"/>
    </row>
    <row r="114" ht="15.75" customHeight="1">
      <c r="A114" s="3"/>
      <c r="B114" s="3"/>
      <c r="C114" s="3"/>
      <c r="D114" s="3"/>
      <c r="E114" s="3"/>
      <c r="F114" s="3"/>
      <c r="I114" s="3"/>
      <c r="J114" s="3"/>
      <c r="K114" s="3"/>
      <c r="L114" s="3"/>
      <c r="M114" s="3"/>
      <c r="N114" s="3"/>
      <c r="O114" s="3"/>
    </row>
    <row r="115" ht="15.75" customHeight="1">
      <c r="A115" s="3"/>
      <c r="B115" s="3"/>
      <c r="C115" s="3"/>
      <c r="D115" s="3"/>
      <c r="E115" s="3"/>
      <c r="F115" s="3"/>
      <c r="I115" s="3"/>
      <c r="J115" s="3"/>
      <c r="K115" s="3"/>
      <c r="L115" s="3"/>
      <c r="M115" s="3"/>
      <c r="N115" s="3"/>
      <c r="O115" s="3"/>
    </row>
    <row r="116" ht="15.75" customHeight="1">
      <c r="A116" s="3"/>
      <c r="B116" s="3"/>
      <c r="C116" s="3"/>
      <c r="D116" s="3"/>
      <c r="E116" s="3"/>
      <c r="F116" s="3"/>
      <c r="I116" s="3"/>
      <c r="J116" s="3"/>
      <c r="K116" s="3"/>
      <c r="L116" s="3"/>
      <c r="M116" s="3"/>
      <c r="N116" s="3"/>
      <c r="O116" s="3"/>
    </row>
    <row r="117" ht="15.75" customHeight="1">
      <c r="A117" s="3"/>
      <c r="B117" s="3"/>
      <c r="C117" s="3"/>
      <c r="D117" s="3"/>
      <c r="E117" s="3"/>
      <c r="F117" s="3"/>
      <c r="I117" s="3"/>
      <c r="J117" s="3"/>
      <c r="K117" s="3"/>
      <c r="L117" s="3"/>
      <c r="M117" s="3"/>
      <c r="N117" s="3"/>
      <c r="O117" s="3"/>
    </row>
    <row r="118" ht="15.75" customHeight="1">
      <c r="A118" s="3"/>
      <c r="B118" s="3"/>
      <c r="C118" s="3"/>
      <c r="D118" s="3"/>
      <c r="E118" s="3"/>
      <c r="F118" s="3"/>
      <c r="I118" s="3"/>
      <c r="J118" s="3"/>
      <c r="K118" s="3"/>
      <c r="L118" s="3"/>
      <c r="M118" s="3"/>
      <c r="N118" s="3"/>
      <c r="O118" s="3"/>
    </row>
    <row r="119" ht="15.75" customHeight="1">
      <c r="A119" s="3"/>
      <c r="B119" s="3"/>
      <c r="C119" s="3"/>
      <c r="D119" s="3"/>
      <c r="E119" s="3"/>
      <c r="F119" s="3"/>
      <c r="I119" s="3"/>
      <c r="J119" s="3"/>
      <c r="K119" s="3"/>
      <c r="L119" s="3"/>
      <c r="M119" s="3"/>
      <c r="N119" s="3"/>
      <c r="O119" s="3"/>
    </row>
    <row r="120" ht="15.75" customHeight="1">
      <c r="A120" s="3"/>
      <c r="B120" s="3"/>
      <c r="C120" s="3"/>
      <c r="D120" s="3"/>
      <c r="E120" s="3"/>
      <c r="F120" s="3"/>
      <c r="I120" s="3"/>
      <c r="J120" s="3"/>
      <c r="K120" s="3"/>
      <c r="L120" s="3"/>
      <c r="M120" s="3"/>
      <c r="N120" s="3"/>
      <c r="O120" s="3"/>
    </row>
    <row r="121" ht="15.75" customHeight="1">
      <c r="A121" s="3"/>
      <c r="B121" s="3"/>
      <c r="C121" s="3"/>
      <c r="D121" s="3"/>
      <c r="E121" s="3"/>
      <c r="F121" s="3"/>
      <c r="I121" s="3"/>
      <c r="J121" s="3"/>
      <c r="K121" s="3"/>
      <c r="L121" s="3"/>
      <c r="M121" s="3"/>
      <c r="N121" s="3"/>
      <c r="O121" s="3"/>
    </row>
    <row r="122" ht="15.75" customHeight="1">
      <c r="A122" s="3"/>
      <c r="B122" s="3"/>
      <c r="C122" s="3"/>
      <c r="D122" s="3"/>
      <c r="E122" s="3"/>
      <c r="F122" s="3"/>
      <c r="I122" s="3"/>
      <c r="J122" s="3"/>
      <c r="K122" s="3"/>
      <c r="L122" s="3"/>
      <c r="M122" s="3"/>
      <c r="N122" s="3"/>
      <c r="O122" s="3"/>
    </row>
    <row r="123" ht="15.75" customHeight="1">
      <c r="A123" s="3"/>
      <c r="B123" s="3"/>
      <c r="C123" s="3"/>
      <c r="D123" s="3"/>
      <c r="E123" s="3"/>
      <c r="F123" s="3"/>
      <c r="I123" s="3"/>
      <c r="J123" s="3"/>
      <c r="K123" s="3"/>
      <c r="L123" s="3"/>
      <c r="M123" s="3"/>
      <c r="N123" s="3"/>
      <c r="O123" s="3"/>
    </row>
    <row r="124" ht="15.75" customHeight="1">
      <c r="A124" s="3"/>
      <c r="B124" s="3"/>
      <c r="C124" s="3"/>
      <c r="D124" s="3"/>
      <c r="E124" s="3"/>
      <c r="F124" s="3"/>
      <c r="I124" s="3"/>
      <c r="J124" s="3"/>
      <c r="K124" s="3"/>
      <c r="L124" s="3"/>
      <c r="M124" s="3"/>
      <c r="N124" s="3"/>
      <c r="O124" s="3"/>
    </row>
    <row r="125" ht="15.75" customHeight="1">
      <c r="A125" s="3"/>
      <c r="B125" s="3"/>
      <c r="C125" s="3"/>
      <c r="D125" s="3"/>
      <c r="E125" s="3"/>
      <c r="F125" s="3"/>
      <c r="I125" s="3"/>
      <c r="J125" s="3"/>
      <c r="K125" s="3"/>
      <c r="L125" s="3"/>
      <c r="M125" s="3"/>
      <c r="N125" s="3"/>
      <c r="O125" s="3"/>
    </row>
    <row r="126" ht="15.75" customHeight="1">
      <c r="A126" s="3"/>
      <c r="B126" s="3"/>
      <c r="C126" s="3"/>
      <c r="D126" s="3"/>
      <c r="E126" s="3"/>
      <c r="F126" s="3"/>
      <c r="I126" s="3"/>
      <c r="J126" s="3"/>
      <c r="K126" s="3"/>
      <c r="L126" s="3"/>
      <c r="M126" s="3"/>
      <c r="N126" s="3"/>
      <c r="O126" s="3"/>
    </row>
    <row r="127" ht="15.75" customHeight="1">
      <c r="A127" s="3"/>
      <c r="B127" s="3"/>
      <c r="C127" s="3"/>
      <c r="D127" s="3"/>
      <c r="E127" s="3"/>
      <c r="F127" s="3"/>
      <c r="I127" s="3"/>
      <c r="J127" s="3"/>
      <c r="K127" s="3"/>
      <c r="L127" s="3"/>
      <c r="M127" s="3"/>
      <c r="N127" s="3"/>
      <c r="O127" s="3"/>
    </row>
    <row r="128" ht="15.75" customHeight="1">
      <c r="A128" s="3"/>
      <c r="B128" s="3"/>
      <c r="C128" s="3"/>
      <c r="D128" s="3"/>
      <c r="E128" s="3"/>
      <c r="F128" s="3"/>
      <c r="I128" s="3"/>
      <c r="J128" s="3"/>
      <c r="K128" s="3"/>
      <c r="L128" s="3"/>
      <c r="M128" s="3"/>
      <c r="N128" s="3"/>
      <c r="O128" s="3"/>
    </row>
    <row r="129" ht="15.75" customHeight="1">
      <c r="A129" s="3"/>
      <c r="B129" s="3"/>
      <c r="C129" s="3"/>
      <c r="D129" s="3"/>
      <c r="E129" s="3"/>
      <c r="F129" s="3"/>
      <c r="I129" s="3"/>
      <c r="J129" s="3"/>
      <c r="K129" s="3"/>
      <c r="L129" s="3"/>
      <c r="M129" s="3"/>
      <c r="N129" s="3"/>
      <c r="O129" s="3"/>
    </row>
    <row r="130" ht="15.75" customHeight="1">
      <c r="A130" s="3"/>
      <c r="B130" s="3"/>
      <c r="C130" s="3"/>
      <c r="D130" s="3"/>
      <c r="E130" s="3"/>
      <c r="F130" s="3"/>
      <c r="I130" s="3"/>
      <c r="J130" s="3"/>
      <c r="K130" s="3"/>
      <c r="L130" s="3"/>
      <c r="M130" s="3"/>
      <c r="N130" s="3"/>
      <c r="O130" s="3"/>
    </row>
    <row r="131" ht="15.75" customHeight="1">
      <c r="A131" s="3"/>
      <c r="B131" s="3"/>
      <c r="C131" s="3"/>
      <c r="D131" s="3"/>
      <c r="E131" s="3"/>
      <c r="F131" s="3"/>
      <c r="I131" s="3"/>
      <c r="J131" s="3"/>
      <c r="K131" s="3"/>
      <c r="L131" s="3"/>
      <c r="M131" s="3"/>
      <c r="N131" s="3"/>
      <c r="O131" s="3"/>
    </row>
    <row r="132" ht="15.75" customHeight="1">
      <c r="A132" s="3"/>
      <c r="B132" s="3"/>
      <c r="C132" s="3"/>
      <c r="D132" s="3"/>
      <c r="E132" s="3"/>
      <c r="F132" s="3"/>
      <c r="I132" s="3"/>
      <c r="J132" s="3"/>
      <c r="K132" s="3"/>
      <c r="L132" s="3"/>
      <c r="M132" s="3"/>
      <c r="N132" s="3"/>
      <c r="O132" s="3"/>
    </row>
    <row r="133" ht="15.75" customHeight="1">
      <c r="A133" s="3"/>
      <c r="B133" s="3"/>
      <c r="C133" s="3"/>
      <c r="D133" s="3"/>
      <c r="E133" s="3"/>
      <c r="F133" s="3"/>
      <c r="I133" s="3"/>
      <c r="J133" s="3"/>
      <c r="K133" s="3"/>
      <c r="L133" s="3"/>
      <c r="M133" s="3"/>
      <c r="N133" s="3"/>
      <c r="O133" s="3"/>
    </row>
    <row r="134" ht="15.75" customHeight="1">
      <c r="A134" s="3"/>
      <c r="B134" s="3"/>
      <c r="C134" s="3"/>
      <c r="D134" s="3"/>
      <c r="E134" s="3"/>
      <c r="F134" s="3"/>
      <c r="I134" s="3"/>
      <c r="J134" s="3"/>
      <c r="K134" s="3"/>
      <c r="L134" s="3"/>
      <c r="M134" s="3"/>
      <c r="N134" s="3"/>
      <c r="O134" s="3"/>
    </row>
    <row r="135" ht="15.75" customHeight="1">
      <c r="A135" s="3"/>
      <c r="B135" s="3"/>
      <c r="C135" s="3"/>
      <c r="D135" s="3"/>
      <c r="E135" s="3"/>
      <c r="F135" s="3"/>
      <c r="I135" s="3"/>
      <c r="J135" s="3"/>
      <c r="K135" s="3"/>
      <c r="L135" s="3"/>
      <c r="M135" s="3"/>
      <c r="N135" s="3"/>
      <c r="O135" s="3"/>
    </row>
    <row r="136" ht="15.75" customHeight="1">
      <c r="A136" s="3"/>
      <c r="B136" s="3"/>
      <c r="C136" s="3"/>
      <c r="D136" s="3"/>
      <c r="E136" s="3"/>
      <c r="F136" s="3"/>
      <c r="I136" s="3"/>
      <c r="J136" s="3"/>
      <c r="K136" s="3"/>
      <c r="L136" s="3"/>
      <c r="M136" s="3"/>
      <c r="N136" s="3"/>
      <c r="O136" s="3"/>
    </row>
    <row r="137" ht="15.75" customHeight="1">
      <c r="A137" s="3"/>
      <c r="B137" s="3"/>
      <c r="C137" s="3"/>
      <c r="D137" s="3"/>
      <c r="E137" s="3"/>
      <c r="F137" s="3"/>
      <c r="I137" s="3"/>
      <c r="J137" s="3"/>
      <c r="K137" s="3"/>
      <c r="L137" s="3"/>
      <c r="M137" s="3"/>
      <c r="N137" s="3"/>
      <c r="O137" s="3"/>
    </row>
    <row r="138" ht="15.75" customHeight="1">
      <c r="A138" s="3"/>
      <c r="B138" s="3"/>
      <c r="C138" s="3"/>
      <c r="D138" s="3"/>
      <c r="E138" s="3"/>
      <c r="F138" s="3"/>
      <c r="I138" s="3"/>
      <c r="J138" s="3"/>
      <c r="K138" s="3"/>
      <c r="L138" s="3"/>
      <c r="M138" s="3"/>
      <c r="N138" s="3"/>
      <c r="O138" s="3"/>
    </row>
    <row r="139" ht="15.75" customHeight="1">
      <c r="A139" s="3"/>
      <c r="B139" s="3"/>
      <c r="C139" s="3"/>
      <c r="D139" s="3"/>
      <c r="E139" s="3"/>
      <c r="F139" s="3"/>
      <c r="I139" s="3"/>
      <c r="J139" s="3"/>
      <c r="K139" s="3"/>
      <c r="L139" s="3"/>
      <c r="M139" s="3"/>
      <c r="N139" s="3"/>
      <c r="O139" s="3"/>
    </row>
    <row r="140" ht="15.75" customHeight="1">
      <c r="A140" s="3"/>
      <c r="B140" s="3"/>
      <c r="C140" s="3"/>
      <c r="D140" s="3"/>
      <c r="E140" s="3"/>
      <c r="F140" s="3"/>
      <c r="I140" s="3"/>
      <c r="J140" s="3"/>
      <c r="K140" s="3"/>
      <c r="L140" s="3"/>
      <c r="M140" s="3"/>
      <c r="N140" s="3"/>
      <c r="O140" s="3"/>
    </row>
    <row r="141" ht="15.75" customHeight="1">
      <c r="A141" s="3"/>
      <c r="B141" s="3"/>
      <c r="C141" s="3"/>
      <c r="D141" s="3"/>
      <c r="E141" s="3"/>
      <c r="F141" s="3"/>
      <c r="I141" s="3"/>
      <c r="J141" s="3"/>
      <c r="K141" s="3"/>
      <c r="L141" s="3"/>
      <c r="M141" s="3"/>
      <c r="N141" s="3"/>
      <c r="O141" s="3"/>
    </row>
    <row r="142" ht="15.75" customHeight="1">
      <c r="A142" s="3"/>
      <c r="B142" s="3"/>
      <c r="C142" s="3"/>
      <c r="D142" s="3"/>
      <c r="E142" s="3"/>
      <c r="F142" s="3"/>
      <c r="I142" s="3"/>
      <c r="J142" s="3"/>
      <c r="K142" s="3"/>
      <c r="L142" s="3"/>
      <c r="M142" s="3"/>
      <c r="N142" s="3"/>
      <c r="O142" s="3"/>
    </row>
    <row r="143" ht="15.75" customHeight="1">
      <c r="A143" s="3"/>
      <c r="B143" s="3"/>
      <c r="C143" s="3"/>
      <c r="D143" s="3"/>
      <c r="E143" s="3"/>
      <c r="F143" s="3"/>
      <c r="I143" s="3"/>
      <c r="J143" s="3"/>
      <c r="K143" s="3"/>
      <c r="L143" s="3"/>
      <c r="M143" s="3"/>
      <c r="N143" s="3"/>
      <c r="O143" s="3"/>
    </row>
    <row r="144" ht="15.75" customHeight="1">
      <c r="A144" s="3"/>
      <c r="B144" s="3"/>
      <c r="C144" s="3"/>
      <c r="D144" s="3"/>
      <c r="E144" s="3"/>
      <c r="F144" s="3"/>
      <c r="I144" s="3"/>
      <c r="J144" s="3"/>
      <c r="K144" s="3"/>
      <c r="L144" s="3"/>
      <c r="M144" s="3"/>
      <c r="N144" s="3"/>
      <c r="O144" s="3"/>
    </row>
    <row r="145" ht="15.75" customHeight="1">
      <c r="A145" s="3"/>
      <c r="B145" s="3"/>
      <c r="C145" s="3"/>
      <c r="D145" s="3"/>
      <c r="E145" s="3"/>
      <c r="F145" s="3"/>
      <c r="I145" s="3"/>
      <c r="J145" s="3"/>
      <c r="K145" s="3"/>
      <c r="L145" s="3"/>
      <c r="M145" s="3"/>
      <c r="N145" s="3"/>
      <c r="O145" s="3"/>
    </row>
    <row r="146" ht="15.75" customHeight="1">
      <c r="A146" s="3"/>
      <c r="B146" s="3"/>
      <c r="C146" s="3"/>
      <c r="D146" s="3"/>
      <c r="E146" s="3"/>
      <c r="F146" s="3"/>
      <c r="I146" s="3"/>
      <c r="J146" s="3"/>
      <c r="K146" s="3"/>
      <c r="L146" s="3"/>
      <c r="M146" s="3"/>
      <c r="N146" s="3"/>
      <c r="O146" s="3"/>
    </row>
    <row r="147" ht="15.75" customHeight="1">
      <c r="A147" s="3"/>
      <c r="B147" s="3"/>
      <c r="C147" s="3"/>
      <c r="D147" s="3"/>
      <c r="E147" s="3"/>
      <c r="F147" s="3"/>
      <c r="I147" s="3"/>
      <c r="J147" s="3"/>
      <c r="K147" s="3"/>
      <c r="L147" s="3"/>
      <c r="M147" s="3"/>
      <c r="N147" s="3"/>
      <c r="O147" s="3"/>
    </row>
    <row r="148" ht="15.75" customHeight="1">
      <c r="A148" s="3"/>
      <c r="B148" s="3"/>
      <c r="C148" s="3"/>
      <c r="D148" s="3"/>
      <c r="E148" s="3"/>
      <c r="F148" s="3"/>
      <c r="I148" s="3"/>
      <c r="J148" s="3"/>
      <c r="K148" s="3"/>
      <c r="L148" s="3"/>
      <c r="M148" s="3"/>
      <c r="N148" s="3"/>
      <c r="O148" s="3"/>
    </row>
    <row r="149" ht="15.75" customHeight="1">
      <c r="A149" s="3"/>
      <c r="B149" s="3"/>
      <c r="C149" s="3"/>
      <c r="D149" s="3"/>
      <c r="E149" s="3"/>
      <c r="F149" s="3"/>
      <c r="I149" s="3"/>
      <c r="J149" s="3"/>
      <c r="K149" s="3"/>
      <c r="L149" s="3"/>
      <c r="M149" s="3"/>
      <c r="N149" s="3"/>
      <c r="O149" s="3"/>
    </row>
    <row r="150" ht="15.75" customHeight="1">
      <c r="A150" s="3"/>
      <c r="B150" s="3"/>
      <c r="C150" s="3"/>
      <c r="D150" s="3"/>
      <c r="E150" s="3"/>
      <c r="F150" s="3"/>
      <c r="I150" s="3"/>
      <c r="J150" s="3"/>
      <c r="K150" s="3"/>
      <c r="L150" s="3"/>
      <c r="M150" s="3"/>
      <c r="N150" s="3"/>
      <c r="O150" s="3"/>
    </row>
    <row r="151" ht="15.75" customHeight="1">
      <c r="A151" s="3"/>
      <c r="B151" s="3"/>
      <c r="C151" s="3"/>
      <c r="D151" s="3"/>
      <c r="E151" s="3"/>
      <c r="F151" s="3"/>
      <c r="I151" s="3"/>
      <c r="J151" s="3"/>
      <c r="K151" s="3"/>
      <c r="L151" s="3"/>
      <c r="M151" s="3"/>
      <c r="N151" s="3"/>
      <c r="O151" s="3"/>
    </row>
    <row r="152" ht="15.75" customHeight="1">
      <c r="A152" s="3"/>
      <c r="B152" s="3"/>
      <c r="C152" s="3"/>
      <c r="D152" s="3"/>
      <c r="E152" s="3"/>
      <c r="F152" s="3"/>
      <c r="I152" s="3"/>
      <c r="J152" s="3"/>
      <c r="K152" s="3"/>
      <c r="L152" s="3"/>
      <c r="M152" s="3"/>
      <c r="N152" s="3"/>
      <c r="O152" s="3"/>
    </row>
    <row r="153" ht="15.75" customHeight="1">
      <c r="A153" s="3"/>
      <c r="B153" s="3"/>
      <c r="C153" s="3"/>
      <c r="D153" s="3"/>
      <c r="E153" s="3"/>
      <c r="F153" s="3"/>
      <c r="I153" s="3"/>
      <c r="J153" s="3"/>
      <c r="K153" s="3"/>
      <c r="L153" s="3"/>
      <c r="M153" s="3"/>
      <c r="N153" s="3"/>
      <c r="O153" s="3"/>
    </row>
    <row r="154" ht="15.75" customHeight="1">
      <c r="A154" s="3"/>
      <c r="B154" s="3"/>
      <c r="C154" s="3"/>
      <c r="D154" s="3"/>
      <c r="E154" s="3"/>
      <c r="F154" s="3"/>
      <c r="I154" s="3"/>
      <c r="J154" s="3"/>
      <c r="K154" s="3"/>
      <c r="L154" s="3"/>
      <c r="M154" s="3"/>
      <c r="N154" s="3"/>
      <c r="O154" s="3"/>
    </row>
    <row r="155" ht="15.75" customHeight="1">
      <c r="A155" s="3"/>
      <c r="B155" s="3"/>
      <c r="C155" s="3"/>
      <c r="D155" s="3"/>
      <c r="E155" s="3"/>
      <c r="F155" s="3"/>
      <c r="I155" s="3"/>
      <c r="J155" s="3"/>
      <c r="K155" s="3"/>
      <c r="L155" s="3"/>
      <c r="M155" s="3"/>
      <c r="N155" s="3"/>
      <c r="O155" s="3"/>
    </row>
    <row r="156" ht="15.75" customHeight="1">
      <c r="A156" s="3"/>
      <c r="B156" s="3"/>
      <c r="C156" s="3"/>
      <c r="D156" s="3"/>
      <c r="E156" s="3"/>
      <c r="F156" s="3"/>
      <c r="I156" s="3"/>
      <c r="J156" s="3"/>
      <c r="K156" s="3"/>
      <c r="L156" s="3"/>
      <c r="M156" s="3"/>
      <c r="N156" s="3"/>
      <c r="O156" s="3"/>
    </row>
    <row r="157" ht="15.75" customHeight="1">
      <c r="A157" s="3"/>
      <c r="B157" s="3"/>
      <c r="C157" s="3"/>
      <c r="D157" s="3"/>
      <c r="E157" s="3"/>
      <c r="F157" s="3"/>
      <c r="I157" s="3"/>
      <c r="J157" s="3"/>
      <c r="K157" s="3"/>
      <c r="L157" s="3"/>
      <c r="M157" s="3"/>
      <c r="N157" s="3"/>
      <c r="O157" s="3"/>
    </row>
    <row r="158" ht="15.75" customHeight="1">
      <c r="A158" s="3"/>
      <c r="B158" s="3"/>
      <c r="C158" s="3"/>
      <c r="D158" s="3"/>
      <c r="E158" s="3"/>
      <c r="F158" s="3"/>
      <c r="I158" s="3"/>
      <c r="J158" s="3"/>
      <c r="K158" s="3"/>
      <c r="L158" s="3"/>
      <c r="M158" s="3"/>
      <c r="N158" s="3"/>
      <c r="O158" s="3"/>
    </row>
    <row r="159" ht="15.75" customHeight="1">
      <c r="A159" s="3"/>
      <c r="B159" s="3"/>
      <c r="C159" s="3"/>
      <c r="D159" s="3"/>
      <c r="E159" s="3"/>
      <c r="F159" s="3"/>
      <c r="I159" s="3"/>
      <c r="J159" s="3"/>
      <c r="K159" s="3"/>
      <c r="L159" s="3"/>
      <c r="M159" s="3"/>
      <c r="N159" s="3"/>
      <c r="O159" s="3"/>
    </row>
    <row r="160" ht="15.75" customHeight="1">
      <c r="A160" s="3"/>
      <c r="B160" s="3"/>
      <c r="C160" s="3"/>
      <c r="D160" s="3"/>
      <c r="E160" s="3"/>
      <c r="F160" s="3"/>
      <c r="I160" s="3"/>
      <c r="J160" s="3"/>
      <c r="K160" s="3"/>
      <c r="L160" s="3"/>
      <c r="M160" s="3"/>
      <c r="N160" s="3"/>
      <c r="O160" s="3"/>
    </row>
    <row r="161" ht="15.75" customHeight="1">
      <c r="A161" s="3"/>
      <c r="B161" s="3"/>
      <c r="C161" s="3"/>
      <c r="D161" s="3"/>
      <c r="E161" s="3"/>
      <c r="F161" s="3"/>
      <c r="I161" s="3"/>
      <c r="J161" s="3"/>
      <c r="K161" s="3"/>
      <c r="L161" s="3"/>
      <c r="M161" s="3"/>
      <c r="N161" s="3"/>
      <c r="O161" s="3"/>
    </row>
    <row r="162" ht="15.75" customHeight="1">
      <c r="A162" s="3"/>
      <c r="B162" s="3"/>
      <c r="C162" s="3"/>
      <c r="D162" s="3"/>
      <c r="E162" s="3"/>
      <c r="F162" s="3"/>
      <c r="I162" s="3"/>
      <c r="J162" s="3"/>
      <c r="K162" s="3"/>
      <c r="L162" s="3"/>
      <c r="M162" s="3"/>
      <c r="N162" s="3"/>
      <c r="O162" s="3"/>
    </row>
    <row r="163" ht="15.75" customHeight="1">
      <c r="A163" s="3"/>
      <c r="B163" s="3"/>
      <c r="C163" s="3"/>
      <c r="D163" s="3"/>
      <c r="E163" s="3"/>
      <c r="F163" s="3"/>
      <c r="I163" s="3"/>
      <c r="J163" s="3"/>
      <c r="K163" s="3"/>
      <c r="L163" s="3"/>
      <c r="M163" s="3"/>
      <c r="N163" s="3"/>
      <c r="O163" s="3"/>
    </row>
    <row r="164" ht="15.75" customHeight="1">
      <c r="A164" s="3"/>
      <c r="B164" s="3"/>
      <c r="C164" s="3"/>
      <c r="D164" s="3"/>
      <c r="E164" s="3"/>
      <c r="F164" s="3"/>
      <c r="I164" s="3"/>
      <c r="J164" s="3"/>
      <c r="K164" s="3"/>
      <c r="L164" s="3"/>
      <c r="M164" s="3"/>
      <c r="N164" s="3"/>
      <c r="O164" s="3"/>
    </row>
    <row r="165" ht="15.75" customHeight="1">
      <c r="A165" s="3"/>
      <c r="B165" s="3"/>
      <c r="C165" s="3"/>
      <c r="D165" s="3"/>
      <c r="E165" s="3"/>
      <c r="F165" s="3"/>
      <c r="I165" s="3"/>
      <c r="J165" s="3"/>
      <c r="K165" s="3"/>
      <c r="L165" s="3"/>
      <c r="M165" s="3"/>
      <c r="N165" s="3"/>
      <c r="O165" s="3"/>
    </row>
    <row r="166" ht="15.75" customHeight="1">
      <c r="A166" s="3"/>
      <c r="B166" s="3"/>
      <c r="C166" s="3"/>
      <c r="D166" s="3"/>
      <c r="E166" s="3"/>
      <c r="F166" s="3"/>
      <c r="I166" s="3"/>
      <c r="J166" s="3"/>
      <c r="K166" s="3"/>
      <c r="L166" s="3"/>
      <c r="M166" s="3"/>
      <c r="N166" s="3"/>
      <c r="O166" s="3"/>
    </row>
    <row r="167" ht="15.75" customHeight="1">
      <c r="A167" s="3"/>
      <c r="B167" s="3"/>
      <c r="C167" s="3"/>
      <c r="D167" s="3"/>
      <c r="E167" s="3"/>
      <c r="F167" s="3"/>
      <c r="I167" s="3"/>
      <c r="J167" s="3"/>
      <c r="K167" s="3"/>
      <c r="L167" s="3"/>
      <c r="M167" s="3"/>
      <c r="N167" s="3"/>
      <c r="O167" s="3"/>
    </row>
    <row r="168" ht="15.75" customHeight="1">
      <c r="A168" s="3"/>
      <c r="B168" s="3"/>
      <c r="C168" s="3"/>
      <c r="D168" s="3"/>
      <c r="E168" s="3"/>
      <c r="F168" s="3"/>
      <c r="I168" s="3"/>
      <c r="J168" s="3"/>
      <c r="K168" s="3"/>
      <c r="L168" s="3"/>
      <c r="M168" s="3"/>
      <c r="N168" s="3"/>
      <c r="O168" s="3"/>
    </row>
    <row r="169" ht="15.75" customHeight="1">
      <c r="A169" s="3"/>
      <c r="B169" s="3"/>
      <c r="C169" s="3"/>
      <c r="D169" s="3"/>
      <c r="E169" s="3"/>
      <c r="F169" s="3"/>
      <c r="I169" s="3"/>
      <c r="J169" s="3"/>
      <c r="K169" s="3"/>
      <c r="L169" s="3"/>
      <c r="M169" s="3"/>
      <c r="N169" s="3"/>
      <c r="O169" s="3"/>
    </row>
    <row r="170" ht="15.75" customHeight="1">
      <c r="A170" s="3"/>
      <c r="B170" s="3"/>
      <c r="C170" s="3"/>
      <c r="D170" s="3"/>
      <c r="E170" s="3"/>
      <c r="F170" s="3"/>
      <c r="I170" s="3"/>
      <c r="J170" s="3"/>
      <c r="K170" s="3"/>
      <c r="L170" s="3"/>
      <c r="M170" s="3"/>
      <c r="N170" s="3"/>
      <c r="O170" s="3"/>
    </row>
    <row r="171" ht="15.75" customHeight="1">
      <c r="A171" s="3"/>
      <c r="B171" s="3"/>
      <c r="C171" s="3"/>
      <c r="D171" s="3"/>
      <c r="E171" s="3"/>
      <c r="F171" s="3"/>
      <c r="I171" s="3"/>
      <c r="J171" s="3"/>
      <c r="K171" s="3"/>
      <c r="L171" s="3"/>
      <c r="M171" s="3"/>
      <c r="N171" s="3"/>
      <c r="O171" s="3"/>
    </row>
    <row r="172" ht="15.75" customHeight="1">
      <c r="A172" s="3"/>
      <c r="B172" s="3"/>
      <c r="C172" s="3"/>
      <c r="D172" s="3"/>
      <c r="E172" s="3"/>
      <c r="F172" s="3"/>
      <c r="I172" s="3"/>
      <c r="J172" s="3"/>
      <c r="K172" s="3"/>
      <c r="L172" s="3"/>
      <c r="M172" s="3"/>
      <c r="N172" s="3"/>
      <c r="O172" s="3"/>
    </row>
    <row r="173" ht="15.75" customHeight="1">
      <c r="A173" s="3"/>
      <c r="B173" s="3"/>
      <c r="C173" s="3"/>
      <c r="D173" s="3"/>
      <c r="E173" s="3"/>
      <c r="F173" s="3"/>
      <c r="I173" s="3"/>
      <c r="J173" s="3"/>
      <c r="K173" s="3"/>
      <c r="L173" s="3"/>
      <c r="M173" s="3"/>
      <c r="N173" s="3"/>
      <c r="O173" s="3"/>
    </row>
    <row r="174" ht="15.75" customHeight="1">
      <c r="A174" s="3"/>
      <c r="B174" s="3"/>
      <c r="C174" s="3"/>
      <c r="D174" s="3"/>
      <c r="E174" s="3"/>
      <c r="F174" s="3"/>
      <c r="I174" s="3"/>
      <c r="J174" s="3"/>
      <c r="K174" s="3"/>
      <c r="L174" s="3"/>
      <c r="M174" s="3"/>
      <c r="N174" s="3"/>
      <c r="O174" s="3"/>
    </row>
    <row r="175" ht="15.75" customHeight="1">
      <c r="A175" s="3"/>
      <c r="B175" s="3"/>
      <c r="C175" s="3"/>
      <c r="D175" s="3"/>
      <c r="E175" s="3"/>
      <c r="F175" s="3"/>
      <c r="I175" s="3"/>
      <c r="J175" s="3"/>
      <c r="K175" s="3"/>
      <c r="L175" s="3"/>
      <c r="M175" s="3"/>
      <c r="N175" s="3"/>
      <c r="O175" s="3"/>
    </row>
    <row r="176" ht="15.75" customHeight="1">
      <c r="A176" s="3"/>
      <c r="B176" s="3"/>
      <c r="C176" s="3"/>
      <c r="D176" s="3"/>
      <c r="E176" s="3"/>
      <c r="F176" s="3"/>
      <c r="I176" s="3"/>
      <c r="J176" s="3"/>
      <c r="K176" s="3"/>
      <c r="L176" s="3"/>
      <c r="M176" s="3"/>
      <c r="N176" s="3"/>
      <c r="O176" s="3"/>
    </row>
    <row r="177" ht="15.75" customHeight="1">
      <c r="A177" s="3"/>
      <c r="B177" s="3"/>
      <c r="C177" s="3"/>
      <c r="D177" s="3"/>
      <c r="E177" s="3"/>
      <c r="F177" s="3"/>
      <c r="I177" s="3"/>
      <c r="J177" s="3"/>
      <c r="K177" s="3"/>
      <c r="L177" s="3"/>
      <c r="M177" s="3"/>
      <c r="N177" s="3"/>
      <c r="O177" s="3"/>
    </row>
    <row r="178" ht="15.75" customHeight="1">
      <c r="A178" s="3"/>
      <c r="B178" s="3"/>
      <c r="C178" s="3"/>
      <c r="D178" s="3"/>
      <c r="E178" s="3"/>
      <c r="F178" s="3"/>
      <c r="I178" s="3"/>
      <c r="J178" s="3"/>
      <c r="K178" s="3"/>
      <c r="L178" s="3"/>
      <c r="M178" s="3"/>
      <c r="N178" s="3"/>
      <c r="O178" s="3"/>
    </row>
    <row r="179" ht="15.75" customHeight="1">
      <c r="A179" s="3"/>
      <c r="B179" s="3"/>
      <c r="C179" s="3"/>
      <c r="D179" s="3"/>
      <c r="E179" s="3"/>
      <c r="F179" s="3"/>
      <c r="I179" s="3"/>
      <c r="J179" s="3"/>
      <c r="K179" s="3"/>
      <c r="L179" s="3"/>
      <c r="M179" s="3"/>
      <c r="N179" s="3"/>
      <c r="O179" s="3"/>
    </row>
    <row r="180" ht="15.75" customHeight="1">
      <c r="A180" s="3"/>
      <c r="B180" s="3"/>
      <c r="C180" s="3"/>
      <c r="D180" s="3"/>
      <c r="E180" s="3"/>
      <c r="F180" s="3"/>
      <c r="I180" s="3"/>
      <c r="J180" s="3"/>
      <c r="K180" s="3"/>
      <c r="L180" s="3"/>
      <c r="M180" s="3"/>
      <c r="N180" s="3"/>
      <c r="O180" s="3"/>
    </row>
    <row r="181" ht="15.75" customHeight="1">
      <c r="A181" s="3"/>
      <c r="B181" s="3"/>
      <c r="C181" s="3"/>
      <c r="D181" s="3"/>
      <c r="E181" s="3"/>
      <c r="F181" s="3"/>
      <c r="I181" s="3"/>
      <c r="J181" s="3"/>
      <c r="K181" s="3"/>
      <c r="L181" s="3"/>
      <c r="M181" s="3"/>
      <c r="N181" s="3"/>
      <c r="O181" s="3"/>
    </row>
    <row r="182" ht="15.75" customHeight="1">
      <c r="A182" s="3"/>
      <c r="B182" s="3"/>
      <c r="C182" s="3"/>
      <c r="D182" s="3"/>
      <c r="E182" s="3"/>
      <c r="F182" s="3"/>
      <c r="I182" s="3"/>
      <c r="J182" s="3"/>
      <c r="K182" s="3"/>
      <c r="L182" s="3"/>
      <c r="M182" s="3"/>
      <c r="N182" s="3"/>
      <c r="O182" s="3"/>
    </row>
    <row r="183" ht="15.75" customHeight="1">
      <c r="A183" s="3"/>
      <c r="B183" s="3"/>
      <c r="C183" s="3"/>
      <c r="D183" s="3"/>
      <c r="E183" s="3"/>
      <c r="F183" s="3"/>
      <c r="I183" s="3"/>
      <c r="J183" s="3"/>
      <c r="K183" s="3"/>
      <c r="L183" s="3"/>
      <c r="M183" s="3"/>
      <c r="N183" s="3"/>
      <c r="O183" s="3"/>
    </row>
    <row r="184" ht="15.75" customHeight="1">
      <c r="A184" s="3"/>
      <c r="B184" s="3"/>
      <c r="C184" s="3"/>
      <c r="D184" s="3"/>
      <c r="E184" s="3"/>
      <c r="F184" s="3"/>
      <c r="I184" s="3"/>
      <c r="J184" s="3"/>
      <c r="K184" s="3"/>
      <c r="L184" s="3"/>
      <c r="M184" s="3"/>
      <c r="N184" s="3"/>
      <c r="O184" s="3"/>
    </row>
    <row r="185" ht="15.75" customHeight="1">
      <c r="A185" s="3"/>
      <c r="B185" s="3"/>
      <c r="C185" s="3"/>
      <c r="D185" s="3"/>
      <c r="E185" s="3"/>
      <c r="F185" s="3"/>
      <c r="I185" s="3"/>
      <c r="J185" s="3"/>
      <c r="K185" s="3"/>
      <c r="L185" s="3"/>
      <c r="M185" s="3"/>
      <c r="N185" s="3"/>
      <c r="O185" s="3"/>
    </row>
    <row r="186" ht="15.75" customHeight="1">
      <c r="A186" s="3"/>
      <c r="B186" s="3"/>
      <c r="C186" s="3"/>
      <c r="D186" s="3"/>
      <c r="E186" s="3"/>
      <c r="F186" s="3"/>
      <c r="I186" s="3"/>
      <c r="J186" s="3"/>
      <c r="K186" s="3"/>
      <c r="L186" s="3"/>
      <c r="M186" s="3"/>
      <c r="N186" s="3"/>
      <c r="O186" s="3"/>
    </row>
    <row r="187" ht="15.75" customHeight="1">
      <c r="A187" s="3"/>
      <c r="B187" s="3"/>
      <c r="C187" s="3"/>
      <c r="D187" s="3"/>
      <c r="E187" s="3"/>
      <c r="F187" s="3"/>
      <c r="I187" s="3"/>
      <c r="J187" s="3"/>
      <c r="K187" s="3"/>
      <c r="L187" s="3"/>
      <c r="M187" s="3"/>
      <c r="N187" s="3"/>
      <c r="O187" s="3"/>
    </row>
    <row r="188" ht="15.75" customHeight="1">
      <c r="A188" s="3"/>
      <c r="B188" s="3"/>
      <c r="C188" s="3"/>
      <c r="D188" s="3"/>
      <c r="E188" s="3"/>
      <c r="F188" s="3"/>
      <c r="I188" s="3"/>
      <c r="J188" s="3"/>
      <c r="K188" s="3"/>
      <c r="L188" s="3"/>
      <c r="M188" s="3"/>
      <c r="N188" s="3"/>
      <c r="O188" s="3"/>
    </row>
    <row r="189" ht="15.75" customHeight="1">
      <c r="A189" s="3"/>
      <c r="B189" s="3"/>
      <c r="C189" s="3"/>
      <c r="D189" s="3"/>
      <c r="E189" s="3"/>
      <c r="F189" s="3"/>
      <c r="I189" s="3"/>
      <c r="J189" s="3"/>
      <c r="K189" s="3"/>
      <c r="L189" s="3"/>
      <c r="M189" s="3"/>
      <c r="N189" s="3"/>
      <c r="O189" s="3"/>
    </row>
    <row r="190" ht="15.75" customHeight="1">
      <c r="A190" s="3"/>
      <c r="B190" s="3"/>
      <c r="C190" s="3"/>
      <c r="D190" s="3"/>
      <c r="E190" s="3"/>
      <c r="F190" s="3"/>
      <c r="I190" s="3"/>
      <c r="J190" s="3"/>
      <c r="K190" s="3"/>
      <c r="L190" s="3"/>
      <c r="M190" s="3"/>
      <c r="N190" s="3"/>
      <c r="O190" s="3"/>
    </row>
    <row r="191" ht="15.75" customHeight="1">
      <c r="A191" s="3"/>
      <c r="B191" s="3"/>
      <c r="C191" s="3"/>
      <c r="D191" s="3"/>
      <c r="E191" s="3"/>
      <c r="F191" s="3"/>
      <c r="I191" s="3"/>
      <c r="J191" s="3"/>
      <c r="K191" s="3"/>
      <c r="L191" s="3"/>
      <c r="M191" s="3"/>
      <c r="N191" s="3"/>
      <c r="O191" s="3"/>
    </row>
    <row r="192" ht="15.75" customHeight="1">
      <c r="A192" s="3"/>
      <c r="B192" s="3"/>
      <c r="C192" s="3"/>
      <c r="D192" s="3"/>
      <c r="E192" s="3"/>
      <c r="F192" s="3"/>
      <c r="I192" s="3"/>
      <c r="J192" s="3"/>
      <c r="K192" s="3"/>
      <c r="L192" s="3"/>
      <c r="M192" s="3"/>
      <c r="N192" s="3"/>
      <c r="O192" s="3"/>
    </row>
    <row r="193" ht="15.75" customHeight="1">
      <c r="A193" s="3"/>
      <c r="B193" s="3"/>
      <c r="C193" s="3"/>
      <c r="D193" s="3"/>
      <c r="E193" s="3"/>
      <c r="F193" s="3"/>
      <c r="I193" s="3"/>
      <c r="J193" s="3"/>
      <c r="K193" s="3"/>
      <c r="L193" s="3"/>
      <c r="M193" s="3"/>
      <c r="N193" s="3"/>
      <c r="O193" s="3"/>
    </row>
    <row r="194" ht="15.75" customHeight="1">
      <c r="A194" s="3"/>
      <c r="B194" s="3"/>
      <c r="C194" s="3"/>
      <c r="D194" s="3"/>
      <c r="E194" s="3"/>
      <c r="F194" s="3"/>
      <c r="I194" s="3"/>
      <c r="J194" s="3"/>
      <c r="K194" s="3"/>
      <c r="L194" s="3"/>
      <c r="M194" s="3"/>
      <c r="N194" s="3"/>
      <c r="O194" s="3"/>
    </row>
    <row r="195" ht="15.75" customHeight="1">
      <c r="A195" s="3"/>
      <c r="B195" s="3"/>
      <c r="C195" s="3"/>
      <c r="D195" s="3"/>
      <c r="E195" s="3"/>
      <c r="F195" s="3"/>
      <c r="I195" s="3"/>
      <c r="J195" s="3"/>
      <c r="K195" s="3"/>
      <c r="L195" s="3"/>
      <c r="M195" s="3"/>
      <c r="N195" s="3"/>
      <c r="O195" s="3"/>
    </row>
    <row r="196" ht="15.75" customHeight="1">
      <c r="A196" s="3"/>
      <c r="B196" s="3"/>
      <c r="C196" s="3"/>
      <c r="D196" s="3"/>
      <c r="E196" s="3"/>
      <c r="F196" s="3"/>
      <c r="I196" s="3"/>
      <c r="J196" s="3"/>
      <c r="K196" s="3"/>
      <c r="L196" s="3"/>
      <c r="M196" s="3"/>
      <c r="N196" s="3"/>
      <c r="O196" s="3"/>
    </row>
    <row r="197" ht="15.75" customHeight="1">
      <c r="A197" s="3"/>
      <c r="B197" s="3"/>
      <c r="C197" s="3"/>
      <c r="D197" s="3"/>
      <c r="E197" s="3"/>
      <c r="F197" s="3"/>
      <c r="I197" s="3"/>
      <c r="J197" s="3"/>
      <c r="K197" s="3"/>
      <c r="L197" s="3"/>
      <c r="M197" s="3"/>
      <c r="N197" s="3"/>
      <c r="O197" s="3"/>
    </row>
    <row r="198" ht="15.75" customHeight="1">
      <c r="A198" s="3"/>
      <c r="B198" s="3"/>
      <c r="C198" s="3"/>
      <c r="D198" s="3"/>
      <c r="E198" s="3"/>
      <c r="F198" s="3"/>
      <c r="I198" s="3"/>
      <c r="J198" s="3"/>
      <c r="K198" s="3"/>
      <c r="L198" s="3"/>
      <c r="M198" s="3"/>
      <c r="N198" s="3"/>
      <c r="O198" s="3"/>
    </row>
    <row r="199" ht="15.75" customHeight="1">
      <c r="A199" s="3"/>
      <c r="B199" s="3"/>
      <c r="C199" s="3"/>
      <c r="D199" s="3"/>
      <c r="E199" s="3"/>
      <c r="F199" s="3"/>
      <c r="I199" s="3"/>
      <c r="J199" s="3"/>
      <c r="K199" s="3"/>
      <c r="L199" s="3"/>
      <c r="M199" s="3"/>
      <c r="N199" s="3"/>
      <c r="O199" s="3"/>
    </row>
    <row r="200" ht="15.75" customHeight="1">
      <c r="A200" s="3"/>
      <c r="B200" s="3"/>
      <c r="C200" s="3"/>
      <c r="D200" s="3"/>
      <c r="E200" s="3"/>
      <c r="F200" s="3"/>
      <c r="I200" s="3"/>
      <c r="J200" s="3"/>
      <c r="K200" s="3"/>
      <c r="L200" s="3"/>
      <c r="M200" s="3"/>
      <c r="N200" s="3"/>
      <c r="O200" s="3"/>
    </row>
    <row r="201" ht="15.75" customHeight="1">
      <c r="A201" s="3"/>
      <c r="B201" s="3"/>
      <c r="C201" s="3"/>
      <c r="D201" s="3"/>
      <c r="E201" s="3"/>
      <c r="F201" s="3"/>
      <c r="I201" s="3"/>
      <c r="J201" s="3"/>
      <c r="K201" s="3"/>
      <c r="L201" s="3"/>
      <c r="M201" s="3"/>
      <c r="N201" s="3"/>
      <c r="O201" s="3"/>
    </row>
    <row r="202" ht="15.75" customHeight="1">
      <c r="A202" s="3"/>
      <c r="B202" s="3"/>
      <c r="C202" s="3"/>
      <c r="D202" s="3"/>
      <c r="E202" s="3"/>
      <c r="F202" s="3"/>
      <c r="I202" s="3"/>
      <c r="J202" s="3"/>
      <c r="K202" s="3"/>
      <c r="L202" s="3"/>
      <c r="M202" s="3"/>
      <c r="N202" s="3"/>
      <c r="O202" s="3"/>
    </row>
    <row r="203" ht="15.75" customHeight="1">
      <c r="A203" s="3"/>
      <c r="B203" s="3"/>
      <c r="C203" s="3"/>
      <c r="D203" s="3"/>
      <c r="E203" s="3"/>
      <c r="F203" s="3"/>
      <c r="I203" s="3"/>
      <c r="J203" s="3"/>
      <c r="K203" s="3"/>
      <c r="L203" s="3"/>
      <c r="M203" s="3"/>
      <c r="N203" s="3"/>
      <c r="O203" s="3"/>
    </row>
    <row r="204" ht="15.75" customHeight="1">
      <c r="A204" s="3"/>
      <c r="B204" s="3"/>
      <c r="C204" s="3"/>
      <c r="D204" s="3"/>
      <c r="E204" s="3"/>
      <c r="F204" s="3"/>
      <c r="I204" s="3"/>
      <c r="J204" s="3"/>
      <c r="K204" s="3"/>
      <c r="L204" s="3"/>
      <c r="M204" s="3"/>
      <c r="N204" s="3"/>
      <c r="O204" s="3"/>
    </row>
    <row r="205" ht="15.75" customHeight="1">
      <c r="A205" s="3"/>
      <c r="B205" s="3"/>
      <c r="C205" s="3"/>
      <c r="D205" s="3"/>
      <c r="E205" s="3"/>
      <c r="F205" s="3"/>
      <c r="I205" s="3"/>
      <c r="J205" s="3"/>
      <c r="K205" s="3"/>
      <c r="L205" s="3"/>
      <c r="M205" s="3"/>
      <c r="N205" s="3"/>
      <c r="O205" s="3"/>
    </row>
    <row r="206" ht="15.75" customHeight="1">
      <c r="A206" s="3"/>
      <c r="B206" s="3"/>
      <c r="C206" s="3"/>
      <c r="D206" s="3"/>
      <c r="E206" s="3"/>
      <c r="F206" s="3"/>
      <c r="I206" s="3"/>
      <c r="J206" s="3"/>
      <c r="K206" s="3"/>
      <c r="L206" s="3"/>
      <c r="M206" s="3"/>
      <c r="N206" s="3"/>
      <c r="O206" s="3"/>
    </row>
    <row r="207" ht="15.75" customHeight="1">
      <c r="A207" s="3"/>
      <c r="B207" s="3"/>
      <c r="C207" s="3"/>
      <c r="D207" s="3"/>
      <c r="E207" s="3"/>
      <c r="F207" s="3"/>
      <c r="I207" s="3"/>
      <c r="J207" s="3"/>
      <c r="K207" s="3"/>
      <c r="L207" s="3"/>
      <c r="M207" s="3"/>
      <c r="N207" s="3"/>
      <c r="O207" s="3"/>
    </row>
    <row r="208" ht="15.75" customHeight="1">
      <c r="A208" s="3"/>
      <c r="B208" s="3"/>
      <c r="C208" s="3"/>
      <c r="D208" s="3"/>
      <c r="E208" s="3"/>
      <c r="F208" s="3"/>
      <c r="I208" s="3"/>
      <c r="J208" s="3"/>
      <c r="K208" s="3"/>
      <c r="L208" s="3"/>
      <c r="M208" s="3"/>
      <c r="N208" s="3"/>
      <c r="O208" s="3"/>
    </row>
    <row r="209" ht="15.75" customHeight="1">
      <c r="A209" s="3"/>
      <c r="B209" s="3"/>
      <c r="C209" s="3"/>
      <c r="D209" s="3"/>
      <c r="E209" s="3"/>
      <c r="F209" s="3"/>
      <c r="I209" s="3"/>
      <c r="J209" s="3"/>
      <c r="K209" s="3"/>
      <c r="L209" s="3"/>
      <c r="M209" s="3"/>
      <c r="N209" s="3"/>
      <c r="O209" s="3"/>
    </row>
    <row r="210" ht="15.75" customHeight="1">
      <c r="A210" s="3"/>
      <c r="B210" s="3"/>
      <c r="C210" s="3"/>
      <c r="D210" s="3"/>
      <c r="E210" s="3"/>
      <c r="F210" s="3"/>
      <c r="I210" s="3"/>
      <c r="J210" s="3"/>
      <c r="K210" s="3"/>
      <c r="L210" s="3"/>
      <c r="M210" s="3"/>
      <c r="N210" s="3"/>
      <c r="O210" s="3"/>
    </row>
    <row r="211" ht="15.75" customHeight="1">
      <c r="A211" s="3"/>
      <c r="B211" s="3"/>
      <c r="C211" s="3"/>
      <c r="D211" s="3"/>
      <c r="E211" s="3"/>
      <c r="F211" s="3"/>
      <c r="I211" s="3"/>
      <c r="J211" s="3"/>
      <c r="K211" s="3"/>
      <c r="L211" s="3"/>
      <c r="M211" s="3"/>
      <c r="N211" s="3"/>
      <c r="O211" s="3"/>
    </row>
    <row r="212" ht="15.75" customHeight="1">
      <c r="A212" s="3"/>
      <c r="B212" s="3"/>
      <c r="C212" s="3"/>
      <c r="D212" s="3"/>
      <c r="E212" s="3"/>
      <c r="F212" s="3"/>
      <c r="I212" s="3"/>
      <c r="J212" s="3"/>
      <c r="K212" s="3"/>
      <c r="L212" s="3"/>
      <c r="M212" s="3"/>
      <c r="N212" s="3"/>
      <c r="O212" s="3"/>
    </row>
    <row r="213" ht="15.75" customHeight="1">
      <c r="A213" s="3"/>
      <c r="B213" s="3"/>
      <c r="C213" s="3"/>
      <c r="D213" s="3"/>
      <c r="E213" s="3"/>
      <c r="F213" s="3"/>
      <c r="I213" s="3"/>
      <c r="J213" s="3"/>
      <c r="K213" s="3"/>
      <c r="L213" s="3"/>
      <c r="M213" s="3"/>
      <c r="N213" s="3"/>
      <c r="O213" s="3"/>
    </row>
    <row r="214" ht="15.75" customHeight="1">
      <c r="A214" s="3"/>
      <c r="B214" s="3"/>
      <c r="C214" s="3"/>
      <c r="D214" s="3"/>
      <c r="E214" s="3"/>
      <c r="F214" s="3"/>
      <c r="I214" s="3"/>
      <c r="J214" s="3"/>
      <c r="K214" s="3"/>
      <c r="L214" s="3"/>
      <c r="M214" s="3"/>
      <c r="N214" s="3"/>
      <c r="O214" s="3"/>
    </row>
    <row r="215" ht="15.75" customHeight="1">
      <c r="A215" s="3"/>
      <c r="B215" s="3"/>
      <c r="C215" s="3"/>
      <c r="D215" s="3"/>
      <c r="E215" s="3"/>
      <c r="F215" s="3"/>
      <c r="I215" s="3"/>
      <c r="J215" s="3"/>
      <c r="K215" s="3"/>
      <c r="L215" s="3"/>
      <c r="M215" s="3"/>
      <c r="N215" s="3"/>
      <c r="O215" s="3"/>
    </row>
    <row r="216" ht="15.75" customHeight="1">
      <c r="A216" s="3"/>
      <c r="B216" s="3"/>
      <c r="C216" s="3"/>
      <c r="D216" s="3"/>
      <c r="E216" s="3"/>
      <c r="F216" s="3"/>
      <c r="I216" s="3"/>
      <c r="J216" s="3"/>
      <c r="K216" s="3"/>
      <c r="L216" s="3"/>
      <c r="M216" s="3"/>
      <c r="N216" s="3"/>
      <c r="O216" s="3"/>
    </row>
    <row r="217" ht="15.75" customHeight="1">
      <c r="A217" s="3"/>
      <c r="B217" s="3"/>
      <c r="C217" s="3"/>
      <c r="D217" s="3"/>
      <c r="E217" s="3"/>
      <c r="F217" s="3"/>
      <c r="I217" s="3"/>
      <c r="J217" s="3"/>
      <c r="K217" s="3"/>
      <c r="L217" s="3"/>
      <c r="M217" s="3"/>
      <c r="N217" s="3"/>
      <c r="O217" s="3"/>
    </row>
    <row r="218" ht="15.75" customHeight="1">
      <c r="A218" s="3"/>
      <c r="B218" s="3"/>
      <c r="C218" s="3"/>
      <c r="D218" s="3"/>
      <c r="E218" s="3"/>
      <c r="F218" s="3"/>
      <c r="I218" s="3"/>
      <c r="J218" s="3"/>
      <c r="K218" s="3"/>
      <c r="L218" s="3"/>
      <c r="M218" s="3"/>
      <c r="N218" s="3"/>
      <c r="O218" s="3"/>
    </row>
    <row r="219" ht="15.75" customHeight="1">
      <c r="A219" s="3"/>
      <c r="B219" s="3"/>
      <c r="C219" s="3"/>
      <c r="D219" s="3"/>
      <c r="E219" s="3"/>
      <c r="F219" s="3"/>
      <c r="I219" s="3"/>
      <c r="J219" s="3"/>
      <c r="K219" s="3"/>
      <c r="L219" s="3"/>
      <c r="M219" s="3"/>
      <c r="N219" s="3"/>
      <c r="O219" s="3"/>
    </row>
    <row r="220" ht="15.75" customHeight="1">
      <c r="A220" s="3"/>
      <c r="B220" s="3"/>
      <c r="C220" s="3"/>
      <c r="D220" s="3"/>
      <c r="E220" s="3"/>
      <c r="F220" s="3"/>
      <c r="I220" s="3"/>
      <c r="J220" s="3"/>
      <c r="K220" s="3"/>
      <c r="L220" s="3"/>
      <c r="M220" s="3"/>
      <c r="N220" s="3"/>
      <c r="O220" s="3"/>
    </row>
    <row r="221" ht="15.75" customHeight="1">
      <c r="A221" s="3"/>
      <c r="B221" s="3"/>
      <c r="C221" s="3"/>
      <c r="D221" s="3"/>
      <c r="E221" s="3"/>
      <c r="F221" s="3"/>
      <c r="I221" s="3"/>
      <c r="J221" s="3"/>
      <c r="K221" s="3"/>
      <c r="L221" s="3"/>
      <c r="M221" s="3"/>
      <c r="N221" s="3"/>
      <c r="O221" s="3"/>
    </row>
    <row r="222" ht="15.75" customHeight="1">
      <c r="A222" s="3"/>
      <c r="B222" s="3"/>
      <c r="C222" s="3"/>
      <c r="D222" s="3"/>
      <c r="E222" s="3"/>
      <c r="F222" s="3"/>
      <c r="I222" s="3"/>
      <c r="J222" s="3"/>
      <c r="K222" s="3"/>
      <c r="L222" s="3"/>
      <c r="M222" s="3"/>
      <c r="N222" s="3"/>
      <c r="O222" s="3"/>
    </row>
    <row r="223" ht="15.75" customHeight="1">
      <c r="A223" s="3"/>
      <c r="B223" s="3"/>
      <c r="C223" s="3"/>
      <c r="D223" s="3"/>
      <c r="E223" s="3"/>
      <c r="F223" s="3"/>
      <c r="I223" s="3"/>
      <c r="J223" s="3"/>
      <c r="K223" s="3"/>
      <c r="L223" s="3"/>
      <c r="M223" s="3"/>
      <c r="N223" s="3"/>
      <c r="O223" s="3"/>
    </row>
    <row r="224" ht="15.75" customHeight="1">
      <c r="A224" s="3"/>
      <c r="B224" s="3"/>
      <c r="C224" s="3"/>
      <c r="D224" s="3"/>
      <c r="E224" s="3"/>
      <c r="F224" s="3"/>
      <c r="I224" s="3"/>
      <c r="J224" s="3"/>
      <c r="K224" s="3"/>
      <c r="L224" s="3"/>
      <c r="M224" s="3"/>
      <c r="N224" s="3"/>
      <c r="O224" s="3"/>
    </row>
    <row r="225" ht="15.75" customHeight="1">
      <c r="A225" s="3"/>
      <c r="B225" s="3"/>
      <c r="C225" s="3"/>
      <c r="D225" s="3"/>
      <c r="E225" s="3"/>
      <c r="F225" s="3"/>
      <c r="I225" s="3"/>
      <c r="J225" s="3"/>
      <c r="K225" s="3"/>
      <c r="L225" s="3"/>
      <c r="M225" s="3"/>
      <c r="N225" s="3"/>
      <c r="O225" s="3"/>
    </row>
    <row r="226" ht="15.75" customHeight="1">
      <c r="A226" s="3"/>
      <c r="B226" s="3"/>
      <c r="C226" s="3"/>
      <c r="D226" s="3"/>
      <c r="E226" s="3"/>
      <c r="F226" s="3"/>
      <c r="I226" s="3"/>
      <c r="J226" s="3"/>
      <c r="K226" s="3"/>
      <c r="L226" s="3"/>
      <c r="M226" s="3"/>
      <c r="N226" s="3"/>
      <c r="O226" s="3"/>
    </row>
    <row r="227" ht="15.75" customHeight="1">
      <c r="A227" s="3"/>
      <c r="B227" s="3"/>
      <c r="C227" s="3"/>
      <c r="D227" s="3"/>
      <c r="E227" s="3"/>
      <c r="F227" s="3"/>
      <c r="I227" s="3"/>
      <c r="J227" s="3"/>
      <c r="K227" s="3"/>
      <c r="L227" s="3"/>
      <c r="M227" s="3"/>
      <c r="N227" s="3"/>
      <c r="O227" s="3"/>
    </row>
    <row r="228" ht="15.75" customHeight="1">
      <c r="A228" s="3"/>
      <c r="B228" s="3"/>
      <c r="C228" s="3"/>
      <c r="D228" s="3"/>
      <c r="E228" s="3"/>
      <c r="F228" s="3"/>
      <c r="I228" s="3"/>
      <c r="J228" s="3"/>
      <c r="K228" s="3"/>
      <c r="L228" s="3"/>
      <c r="M228" s="3"/>
      <c r="N228" s="3"/>
      <c r="O228" s="3"/>
    </row>
    <row r="229" ht="15.75" customHeight="1">
      <c r="A229" s="3"/>
      <c r="B229" s="3"/>
      <c r="C229" s="3"/>
      <c r="D229" s="3"/>
      <c r="E229" s="3"/>
      <c r="F229" s="3"/>
      <c r="I229" s="3"/>
      <c r="J229" s="3"/>
      <c r="K229" s="3"/>
      <c r="L229" s="3"/>
      <c r="M229" s="3"/>
      <c r="N229" s="3"/>
      <c r="O229" s="3"/>
    </row>
    <row r="230" ht="15.75" customHeight="1">
      <c r="A230" s="3"/>
      <c r="B230" s="3"/>
      <c r="C230" s="3"/>
      <c r="D230" s="3"/>
      <c r="E230" s="3"/>
      <c r="F230" s="3"/>
      <c r="I230" s="3"/>
      <c r="J230" s="3"/>
      <c r="K230" s="3"/>
      <c r="L230" s="3"/>
      <c r="M230" s="3"/>
      <c r="N230" s="3"/>
      <c r="O230" s="3"/>
    </row>
    <row r="231" ht="15.75" customHeight="1">
      <c r="A231" s="3"/>
      <c r="B231" s="3"/>
      <c r="C231" s="3"/>
      <c r="D231" s="3"/>
      <c r="E231" s="3"/>
      <c r="F231" s="3"/>
      <c r="I231" s="3"/>
      <c r="J231" s="3"/>
      <c r="K231" s="3"/>
      <c r="L231" s="3"/>
      <c r="M231" s="3"/>
      <c r="N231" s="3"/>
      <c r="O231" s="3"/>
    </row>
    <row r="232" ht="15.75" customHeight="1">
      <c r="A232" s="3"/>
      <c r="B232" s="3"/>
      <c r="C232" s="3"/>
      <c r="D232" s="3"/>
      <c r="E232" s="3"/>
      <c r="F232" s="3"/>
      <c r="I232" s="3"/>
      <c r="J232" s="3"/>
      <c r="K232" s="3"/>
      <c r="L232" s="3"/>
      <c r="M232" s="3"/>
      <c r="N232" s="3"/>
      <c r="O232" s="3"/>
    </row>
    <row r="233" ht="15.75" customHeight="1">
      <c r="A233" s="3"/>
      <c r="B233" s="3"/>
      <c r="C233" s="3"/>
      <c r="D233" s="3"/>
      <c r="E233" s="3"/>
      <c r="F233" s="3"/>
      <c r="I233" s="3"/>
      <c r="J233" s="3"/>
      <c r="K233" s="3"/>
      <c r="L233" s="3"/>
      <c r="M233" s="3"/>
      <c r="N233" s="3"/>
      <c r="O233" s="3"/>
    </row>
    <row r="234" ht="15.75" customHeight="1">
      <c r="A234" s="3"/>
      <c r="B234" s="3"/>
      <c r="C234" s="3"/>
      <c r="D234" s="3"/>
      <c r="E234" s="3"/>
      <c r="F234" s="3"/>
      <c r="I234" s="3"/>
      <c r="J234" s="3"/>
      <c r="K234" s="3"/>
      <c r="L234" s="3"/>
      <c r="M234" s="3"/>
      <c r="N234" s="3"/>
      <c r="O234" s="3"/>
    </row>
    <row r="235" ht="15.75" customHeight="1">
      <c r="A235" s="3"/>
      <c r="B235" s="3"/>
      <c r="C235" s="3"/>
      <c r="D235" s="3"/>
      <c r="E235" s="3"/>
      <c r="F235" s="3"/>
      <c r="I235" s="3"/>
      <c r="J235" s="3"/>
      <c r="K235" s="3"/>
      <c r="L235" s="3"/>
      <c r="M235" s="3"/>
      <c r="N235" s="3"/>
      <c r="O235" s="3"/>
    </row>
    <row r="236" ht="15.75" customHeight="1">
      <c r="A236" s="3"/>
      <c r="B236" s="3"/>
      <c r="C236" s="3"/>
      <c r="D236" s="3"/>
      <c r="E236" s="3"/>
      <c r="F236" s="3"/>
      <c r="I236" s="3"/>
      <c r="J236" s="3"/>
      <c r="K236" s="3"/>
      <c r="L236" s="3"/>
      <c r="M236" s="3"/>
      <c r="N236" s="3"/>
      <c r="O236" s="3"/>
    </row>
    <row r="237" ht="15.75" customHeight="1">
      <c r="A237" s="3"/>
      <c r="B237" s="3"/>
      <c r="C237" s="3"/>
      <c r="D237" s="3"/>
      <c r="E237" s="3"/>
      <c r="F237" s="3"/>
      <c r="I237" s="3"/>
      <c r="J237" s="3"/>
      <c r="K237" s="3"/>
      <c r="L237" s="3"/>
      <c r="M237" s="3"/>
      <c r="N237" s="3"/>
      <c r="O237" s="3"/>
    </row>
    <row r="238" ht="15.75" customHeight="1">
      <c r="A238" s="3"/>
      <c r="B238" s="3"/>
      <c r="C238" s="3"/>
      <c r="D238" s="3"/>
      <c r="E238" s="3"/>
      <c r="F238" s="3"/>
      <c r="I238" s="3"/>
      <c r="J238" s="3"/>
      <c r="K238" s="3"/>
      <c r="L238" s="3"/>
      <c r="M238" s="3"/>
      <c r="N238" s="3"/>
      <c r="O238" s="3"/>
    </row>
    <row r="239" ht="15.75" customHeight="1">
      <c r="A239" s="3"/>
      <c r="B239" s="3"/>
      <c r="C239" s="3"/>
      <c r="D239" s="3"/>
      <c r="E239" s="3"/>
      <c r="F239" s="3"/>
      <c r="I239" s="3"/>
      <c r="J239" s="3"/>
      <c r="K239" s="3"/>
      <c r="L239" s="3"/>
      <c r="M239" s="3"/>
      <c r="N239" s="3"/>
      <c r="O239" s="3"/>
    </row>
    <row r="240" ht="15.75" customHeight="1">
      <c r="A240" s="3"/>
      <c r="B240" s="3"/>
      <c r="C240" s="3"/>
      <c r="D240" s="3"/>
      <c r="E240" s="3"/>
      <c r="F240" s="3"/>
      <c r="I240" s="3"/>
      <c r="J240" s="3"/>
      <c r="K240" s="3"/>
      <c r="L240" s="3"/>
      <c r="M240" s="3"/>
      <c r="N240" s="3"/>
      <c r="O240" s="3"/>
    </row>
    <row r="241" ht="15.75" customHeight="1">
      <c r="A241" s="3"/>
      <c r="B241" s="3"/>
      <c r="C241" s="3"/>
      <c r="D241" s="3"/>
      <c r="E241" s="3"/>
      <c r="F241" s="3"/>
      <c r="I241" s="3"/>
      <c r="J241" s="3"/>
      <c r="K241" s="3"/>
      <c r="L241" s="3"/>
      <c r="M241" s="3"/>
      <c r="N241" s="3"/>
      <c r="O241" s="3"/>
    </row>
    <row r="242" ht="15.75" customHeight="1">
      <c r="A242" s="3"/>
      <c r="B242" s="3"/>
      <c r="C242" s="3"/>
      <c r="D242" s="3"/>
      <c r="E242" s="3"/>
      <c r="F242" s="3"/>
      <c r="I242" s="3"/>
      <c r="J242" s="3"/>
      <c r="K242" s="3"/>
      <c r="L242" s="3"/>
      <c r="M242" s="3"/>
      <c r="N242" s="3"/>
      <c r="O242" s="3"/>
    </row>
    <row r="243" ht="15.75" customHeight="1">
      <c r="A243" s="3"/>
      <c r="B243" s="3"/>
      <c r="C243" s="3"/>
      <c r="D243" s="3"/>
      <c r="E243" s="3"/>
      <c r="F243" s="3"/>
      <c r="I243" s="3"/>
      <c r="J243" s="3"/>
      <c r="K243" s="3"/>
      <c r="L243" s="3"/>
      <c r="M243" s="3"/>
      <c r="N243" s="3"/>
      <c r="O243" s="3"/>
    </row>
    <row r="244" ht="15.75" customHeight="1">
      <c r="A244" s="3"/>
      <c r="B244" s="3"/>
      <c r="C244" s="3"/>
      <c r="D244" s="3"/>
      <c r="E244" s="3"/>
      <c r="F244" s="3"/>
      <c r="I244" s="3"/>
      <c r="J244" s="3"/>
      <c r="K244" s="3"/>
      <c r="L244" s="3"/>
      <c r="M244" s="3"/>
      <c r="N244" s="3"/>
      <c r="O244" s="3"/>
    </row>
    <row r="245" ht="15.75" customHeight="1">
      <c r="A245" s="3"/>
      <c r="B245" s="3"/>
      <c r="C245" s="3"/>
      <c r="D245" s="3"/>
      <c r="E245" s="3"/>
      <c r="F245" s="3"/>
      <c r="I245" s="3"/>
      <c r="J245" s="3"/>
      <c r="K245" s="3"/>
      <c r="L245" s="3"/>
      <c r="M245" s="3"/>
      <c r="N245" s="3"/>
      <c r="O245" s="3"/>
    </row>
    <row r="246" ht="15.75" customHeight="1">
      <c r="A246" s="3"/>
      <c r="B246" s="3"/>
      <c r="C246" s="3"/>
      <c r="D246" s="3"/>
      <c r="E246" s="3"/>
      <c r="F246" s="3"/>
      <c r="I246" s="3"/>
      <c r="J246" s="3"/>
      <c r="K246" s="3"/>
      <c r="L246" s="3"/>
      <c r="M246" s="3"/>
      <c r="N246" s="3"/>
      <c r="O246" s="3"/>
    </row>
    <row r="247" ht="15.75" customHeight="1">
      <c r="A247" s="3"/>
      <c r="B247" s="3"/>
      <c r="C247" s="3"/>
      <c r="D247" s="3"/>
      <c r="E247" s="3"/>
      <c r="F247" s="3"/>
      <c r="I247" s="3"/>
      <c r="J247" s="3"/>
      <c r="K247" s="3"/>
      <c r="L247" s="3"/>
      <c r="M247" s="3"/>
      <c r="N247" s="3"/>
      <c r="O247" s="3"/>
    </row>
    <row r="248" ht="15.75" customHeight="1">
      <c r="A248" s="3"/>
      <c r="B248" s="3"/>
      <c r="C248" s="3"/>
      <c r="D248" s="3"/>
      <c r="E248" s="3"/>
      <c r="F248" s="3"/>
      <c r="I248" s="3"/>
      <c r="J248" s="3"/>
      <c r="K248" s="3"/>
      <c r="L248" s="3"/>
      <c r="M248" s="3"/>
      <c r="N248" s="3"/>
      <c r="O248" s="3"/>
    </row>
    <row r="249" ht="15.75" customHeight="1">
      <c r="A249" s="3"/>
      <c r="B249" s="3"/>
      <c r="C249" s="3"/>
      <c r="D249" s="3"/>
      <c r="E249" s="3"/>
      <c r="F249" s="3"/>
      <c r="I249" s="3"/>
      <c r="J249" s="3"/>
      <c r="K249" s="3"/>
      <c r="L249" s="3"/>
      <c r="M249" s="3"/>
      <c r="N249" s="3"/>
      <c r="O249" s="3"/>
    </row>
    <row r="250" ht="15.75" customHeight="1">
      <c r="A250" s="3"/>
      <c r="B250" s="3"/>
      <c r="C250" s="3"/>
      <c r="D250" s="3"/>
      <c r="E250" s="3"/>
      <c r="F250" s="3"/>
      <c r="I250" s="3"/>
      <c r="J250" s="3"/>
      <c r="K250" s="3"/>
      <c r="L250" s="3"/>
      <c r="M250" s="3"/>
      <c r="N250" s="3"/>
      <c r="O250" s="3"/>
    </row>
    <row r="251" ht="15.75" customHeight="1">
      <c r="A251" s="3"/>
      <c r="B251" s="3"/>
      <c r="C251" s="3"/>
      <c r="D251" s="3"/>
      <c r="E251" s="3"/>
      <c r="F251" s="3"/>
      <c r="I251" s="3"/>
      <c r="J251" s="3"/>
      <c r="K251" s="3"/>
      <c r="L251" s="3"/>
      <c r="M251" s="3"/>
      <c r="N251" s="3"/>
      <c r="O251" s="3"/>
    </row>
    <row r="252" ht="15.75" customHeight="1">
      <c r="A252" s="3"/>
      <c r="B252" s="3"/>
      <c r="C252" s="3"/>
      <c r="D252" s="3"/>
      <c r="E252" s="3"/>
      <c r="F252" s="3"/>
      <c r="I252" s="3"/>
      <c r="J252" s="3"/>
      <c r="K252" s="3"/>
      <c r="L252" s="3"/>
      <c r="M252" s="3"/>
      <c r="N252" s="3"/>
      <c r="O252" s="3"/>
    </row>
    <row r="253" ht="15.75" customHeight="1">
      <c r="A253" s="3"/>
      <c r="B253" s="3"/>
      <c r="C253" s="3"/>
      <c r="D253" s="3"/>
      <c r="E253" s="3"/>
      <c r="F253" s="3"/>
      <c r="I253" s="3"/>
      <c r="J253" s="3"/>
      <c r="K253" s="3"/>
      <c r="L253" s="3"/>
      <c r="M253" s="3"/>
      <c r="N253" s="3"/>
      <c r="O253" s="3"/>
    </row>
    <row r="254" ht="15.75" customHeight="1">
      <c r="A254" s="3"/>
      <c r="B254" s="3"/>
      <c r="C254" s="3"/>
      <c r="D254" s="3"/>
      <c r="E254" s="3"/>
      <c r="F254" s="3"/>
      <c r="I254" s="3"/>
      <c r="J254" s="3"/>
      <c r="K254" s="3"/>
      <c r="L254" s="3"/>
      <c r="M254" s="3"/>
      <c r="N254" s="3"/>
      <c r="O254" s="3"/>
    </row>
    <row r="255" ht="15.75" customHeight="1">
      <c r="A255" s="3"/>
      <c r="B255" s="3"/>
      <c r="C255" s="3"/>
      <c r="D255" s="3"/>
      <c r="E255" s="3"/>
      <c r="F255" s="3"/>
      <c r="I255" s="3"/>
      <c r="J255" s="3"/>
      <c r="K255" s="3"/>
      <c r="L255" s="3"/>
      <c r="M255" s="3"/>
      <c r="N255" s="3"/>
      <c r="O255" s="3"/>
    </row>
    <row r="256" ht="15.75" customHeight="1">
      <c r="A256" s="3"/>
      <c r="B256" s="3"/>
      <c r="C256" s="3"/>
      <c r="D256" s="3"/>
      <c r="E256" s="3"/>
      <c r="F256" s="3"/>
      <c r="I256" s="3"/>
      <c r="J256" s="3"/>
      <c r="K256" s="3"/>
      <c r="L256" s="3"/>
      <c r="M256" s="3"/>
      <c r="N256" s="3"/>
      <c r="O256" s="3"/>
    </row>
    <row r="257" ht="15.75" customHeight="1">
      <c r="A257" s="3"/>
      <c r="B257" s="3"/>
      <c r="C257" s="3"/>
      <c r="D257" s="3"/>
      <c r="E257" s="3"/>
      <c r="F257" s="3"/>
      <c r="I257" s="3"/>
      <c r="J257" s="3"/>
      <c r="K257" s="3"/>
      <c r="L257" s="3"/>
      <c r="M257" s="3"/>
      <c r="N257" s="3"/>
      <c r="O257" s="3"/>
    </row>
    <row r="258" ht="15.75" customHeight="1">
      <c r="A258" s="3"/>
      <c r="B258" s="3"/>
      <c r="C258" s="3"/>
      <c r="D258" s="3"/>
      <c r="E258" s="3"/>
      <c r="F258" s="3"/>
      <c r="I258" s="3"/>
      <c r="J258" s="3"/>
      <c r="K258" s="3"/>
      <c r="L258" s="3"/>
      <c r="M258" s="3"/>
      <c r="N258" s="3"/>
      <c r="O258" s="3"/>
    </row>
    <row r="259" ht="15.75" customHeight="1">
      <c r="A259" s="3"/>
      <c r="B259" s="3"/>
      <c r="C259" s="3"/>
      <c r="D259" s="3"/>
      <c r="E259" s="3"/>
      <c r="F259" s="3"/>
      <c r="I259" s="3"/>
      <c r="J259" s="3"/>
      <c r="K259" s="3"/>
      <c r="L259" s="3"/>
      <c r="M259" s="3"/>
      <c r="N259" s="3"/>
      <c r="O259" s="3"/>
    </row>
    <row r="260" ht="15.75" customHeight="1">
      <c r="A260" s="3"/>
      <c r="B260" s="3"/>
      <c r="C260" s="3"/>
      <c r="D260" s="3"/>
      <c r="E260" s="3"/>
      <c r="F260" s="3"/>
      <c r="I260" s="3"/>
      <c r="J260" s="3"/>
      <c r="K260" s="3"/>
      <c r="L260" s="3"/>
      <c r="M260" s="3"/>
      <c r="N260" s="3"/>
      <c r="O260" s="3"/>
    </row>
    <row r="261" ht="15.75" customHeight="1">
      <c r="A261" s="3"/>
      <c r="B261" s="3"/>
      <c r="C261" s="3"/>
      <c r="D261" s="3"/>
      <c r="E261" s="3"/>
      <c r="F261" s="3"/>
      <c r="I261" s="3"/>
      <c r="J261" s="3"/>
      <c r="K261" s="3"/>
      <c r="L261" s="3"/>
      <c r="M261" s="3"/>
      <c r="N261" s="3"/>
      <c r="O261" s="3"/>
    </row>
    <row r="262" ht="15.75" customHeight="1">
      <c r="A262" s="3"/>
      <c r="B262" s="3"/>
      <c r="C262" s="3"/>
      <c r="D262" s="3"/>
      <c r="E262" s="3"/>
      <c r="F262" s="3"/>
      <c r="I262" s="3"/>
      <c r="J262" s="3"/>
      <c r="K262" s="3"/>
      <c r="L262" s="3"/>
      <c r="M262" s="3"/>
      <c r="N262" s="3"/>
      <c r="O262" s="3"/>
    </row>
    <row r="263" ht="15.75" customHeight="1">
      <c r="A263" s="3"/>
      <c r="B263" s="3"/>
      <c r="C263" s="3"/>
      <c r="D263" s="3"/>
      <c r="E263" s="3"/>
      <c r="F263" s="3"/>
      <c r="I263" s="3"/>
      <c r="J263" s="3"/>
      <c r="K263" s="3"/>
      <c r="L263" s="3"/>
      <c r="M263" s="3"/>
      <c r="N263" s="3"/>
      <c r="O263" s="3"/>
    </row>
    <row r="264" ht="15.75" customHeight="1">
      <c r="A264" s="3"/>
      <c r="B264" s="3"/>
      <c r="C264" s="3"/>
      <c r="D264" s="3"/>
      <c r="E264" s="3"/>
      <c r="F264" s="3"/>
      <c r="I264" s="3"/>
      <c r="J264" s="3"/>
      <c r="K264" s="3"/>
      <c r="L264" s="3"/>
      <c r="M264" s="3"/>
      <c r="N264" s="3"/>
      <c r="O264" s="3"/>
    </row>
    <row r="265" ht="15.75" customHeight="1">
      <c r="A265" s="3"/>
      <c r="B265" s="3"/>
      <c r="C265" s="3"/>
      <c r="D265" s="3"/>
      <c r="E265" s="3"/>
      <c r="F265" s="3"/>
      <c r="I265" s="3"/>
      <c r="J265" s="3"/>
      <c r="K265" s="3"/>
      <c r="L265" s="3"/>
      <c r="M265" s="3"/>
      <c r="N265" s="3"/>
      <c r="O265" s="3"/>
    </row>
    <row r="266" ht="15.75" customHeight="1">
      <c r="A266" s="3"/>
      <c r="B266" s="3"/>
      <c r="C266" s="3"/>
      <c r="D266" s="3"/>
      <c r="E266" s="3"/>
      <c r="F266" s="3"/>
      <c r="I266" s="3"/>
      <c r="J266" s="3"/>
      <c r="K266" s="3"/>
      <c r="L266" s="3"/>
      <c r="M266" s="3"/>
      <c r="N266" s="3"/>
      <c r="O266" s="3"/>
    </row>
    <row r="267" ht="15.75" customHeight="1">
      <c r="A267" s="3"/>
      <c r="B267" s="3"/>
      <c r="C267" s="3"/>
      <c r="D267" s="3"/>
      <c r="E267" s="3"/>
      <c r="F267" s="3"/>
      <c r="I267" s="3"/>
      <c r="J267" s="3"/>
      <c r="K267" s="3"/>
      <c r="L267" s="3"/>
      <c r="M267" s="3"/>
      <c r="N267" s="3"/>
      <c r="O267" s="3"/>
    </row>
    <row r="268" ht="15.75" customHeight="1">
      <c r="A268" s="3"/>
      <c r="B268" s="3"/>
      <c r="C268" s="3"/>
      <c r="D268" s="3"/>
      <c r="E268" s="3"/>
      <c r="F268" s="3"/>
      <c r="I268" s="3"/>
      <c r="J268" s="3"/>
      <c r="K268" s="3"/>
      <c r="L268" s="3"/>
      <c r="M268" s="3"/>
      <c r="N268" s="3"/>
      <c r="O268" s="3"/>
    </row>
    <row r="269" ht="15.75" customHeight="1">
      <c r="A269" s="3"/>
      <c r="B269" s="3"/>
      <c r="C269" s="3"/>
      <c r="D269" s="3"/>
      <c r="E269" s="3"/>
      <c r="F269" s="3"/>
      <c r="I269" s="3"/>
      <c r="J269" s="3"/>
      <c r="K269" s="3"/>
      <c r="L269" s="3"/>
      <c r="M269" s="3"/>
      <c r="N269" s="3"/>
      <c r="O269" s="3"/>
    </row>
    <row r="270" ht="15.75" customHeight="1">
      <c r="A270" s="3"/>
      <c r="B270" s="3"/>
      <c r="C270" s="3"/>
      <c r="D270" s="3"/>
      <c r="E270" s="3"/>
      <c r="F270" s="3"/>
      <c r="I270" s="3"/>
      <c r="J270" s="3"/>
      <c r="K270" s="3"/>
      <c r="L270" s="3"/>
      <c r="M270" s="3"/>
      <c r="N270" s="3"/>
      <c r="O270" s="3"/>
    </row>
    <row r="271" ht="15.75" customHeight="1">
      <c r="A271" s="3"/>
      <c r="B271" s="3"/>
      <c r="C271" s="3"/>
      <c r="D271" s="3"/>
      <c r="E271" s="3"/>
      <c r="F271" s="3"/>
      <c r="I271" s="3"/>
      <c r="J271" s="3"/>
      <c r="K271" s="3"/>
      <c r="L271" s="3"/>
      <c r="M271" s="3"/>
      <c r="N271" s="3"/>
      <c r="O271" s="3"/>
    </row>
    <row r="272" ht="15.75" customHeight="1">
      <c r="A272" s="3"/>
      <c r="B272" s="3"/>
      <c r="C272" s="3"/>
      <c r="D272" s="3"/>
      <c r="E272" s="3"/>
      <c r="F272" s="3"/>
      <c r="I272" s="3"/>
      <c r="J272" s="3"/>
      <c r="K272" s="3"/>
      <c r="L272" s="3"/>
      <c r="M272" s="3"/>
      <c r="N272" s="3"/>
      <c r="O272" s="3"/>
    </row>
    <row r="273" ht="15.75" customHeight="1">
      <c r="A273" s="3"/>
      <c r="B273" s="3"/>
      <c r="C273" s="3"/>
      <c r="D273" s="3"/>
      <c r="E273" s="3"/>
      <c r="F273" s="3"/>
      <c r="I273" s="3"/>
      <c r="J273" s="3"/>
      <c r="K273" s="3"/>
      <c r="L273" s="3"/>
      <c r="M273" s="3"/>
      <c r="N273" s="3"/>
      <c r="O273" s="3"/>
    </row>
    <row r="274" ht="15.75" customHeight="1">
      <c r="A274" s="3"/>
      <c r="B274" s="3"/>
      <c r="C274" s="3"/>
      <c r="D274" s="3"/>
      <c r="E274" s="3"/>
      <c r="F274" s="3"/>
      <c r="I274" s="3"/>
      <c r="J274" s="3"/>
      <c r="K274" s="3"/>
      <c r="L274" s="3"/>
      <c r="M274" s="3"/>
      <c r="N274" s="3"/>
      <c r="O274" s="3"/>
    </row>
    <row r="275" ht="15.75" customHeight="1">
      <c r="A275" s="3"/>
      <c r="B275" s="3"/>
      <c r="C275" s="3"/>
      <c r="D275" s="3"/>
      <c r="E275" s="3"/>
      <c r="F275" s="3"/>
      <c r="I275" s="3"/>
      <c r="J275" s="3"/>
      <c r="K275" s="3"/>
      <c r="L275" s="3"/>
      <c r="M275" s="3"/>
      <c r="N275" s="3"/>
      <c r="O275" s="3"/>
    </row>
    <row r="276" ht="15.75" customHeight="1">
      <c r="A276" s="3"/>
      <c r="B276" s="3"/>
      <c r="C276" s="3"/>
      <c r="D276" s="3"/>
      <c r="E276" s="3"/>
      <c r="F276" s="3"/>
      <c r="I276" s="3"/>
      <c r="J276" s="3"/>
      <c r="K276" s="3"/>
      <c r="L276" s="3"/>
      <c r="M276" s="3"/>
      <c r="N276" s="3"/>
      <c r="O276" s="3"/>
    </row>
    <row r="277" ht="15.75" customHeight="1">
      <c r="A277" s="3"/>
      <c r="B277" s="3"/>
      <c r="C277" s="3"/>
      <c r="D277" s="3"/>
      <c r="E277" s="3"/>
      <c r="F277" s="3"/>
      <c r="I277" s="3"/>
      <c r="J277" s="3"/>
      <c r="K277" s="3"/>
      <c r="L277" s="3"/>
      <c r="M277" s="3"/>
      <c r="N277" s="3"/>
      <c r="O277" s="3"/>
    </row>
    <row r="278" ht="15.75" customHeight="1">
      <c r="A278" s="3"/>
      <c r="B278" s="3"/>
      <c r="C278" s="3"/>
      <c r="D278" s="3"/>
      <c r="E278" s="3"/>
      <c r="F278" s="3"/>
      <c r="I278" s="3"/>
      <c r="J278" s="3"/>
      <c r="K278" s="3"/>
      <c r="L278" s="3"/>
      <c r="M278" s="3"/>
      <c r="N278" s="3"/>
      <c r="O278" s="3"/>
    </row>
    <row r="279" ht="15.75" customHeight="1">
      <c r="A279" s="3"/>
      <c r="B279" s="3"/>
      <c r="C279" s="3"/>
      <c r="D279" s="3"/>
      <c r="E279" s="3"/>
      <c r="F279" s="3"/>
      <c r="I279" s="3"/>
      <c r="J279" s="3"/>
      <c r="K279" s="3"/>
      <c r="L279" s="3"/>
      <c r="M279" s="3"/>
      <c r="N279" s="3"/>
      <c r="O279" s="3"/>
    </row>
    <row r="280" ht="15.75" customHeight="1">
      <c r="A280" s="3"/>
      <c r="B280" s="3"/>
      <c r="C280" s="3"/>
      <c r="D280" s="3"/>
      <c r="E280" s="3"/>
      <c r="F280" s="3"/>
      <c r="I280" s="3"/>
      <c r="J280" s="3"/>
      <c r="K280" s="3"/>
      <c r="L280" s="3"/>
      <c r="M280" s="3"/>
      <c r="N280" s="3"/>
      <c r="O280" s="3"/>
    </row>
    <row r="281" ht="15.75" customHeight="1">
      <c r="A281" s="3"/>
      <c r="B281" s="3"/>
      <c r="C281" s="3"/>
      <c r="D281" s="3"/>
      <c r="E281" s="3"/>
      <c r="F281" s="3"/>
      <c r="I281" s="3"/>
      <c r="J281" s="3"/>
      <c r="K281" s="3"/>
      <c r="L281" s="3"/>
      <c r="M281" s="3"/>
      <c r="N281" s="3"/>
      <c r="O281" s="3"/>
    </row>
    <row r="282" ht="15.75" customHeight="1">
      <c r="A282" s="3"/>
      <c r="B282" s="3"/>
      <c r="C282" s="3"/>
      <c r="D282" s="3"/>
      <c r="E282" s="3"/>
      <c r="F282" s="3"/>
      <c r="I282" s="3"/>
      <c r="J282" s="3"/>
      <c r="K282" s="3"/>
      <c r="L282" s="3"/>
      <c r="M282" s="3"/>
      <c r="N282" s="3"/>
      <c r="O282" s="3"/>
    </row>
    <row r="283" ht="15.75" customHeight="1">
      <c r="A283" s="3"/>
      <c r="B283" s="3"/>
      <c r="C283" s="3"/>
      <c r="D283" s="3"/>
      <c r="E283" s="3"/>
      <c r="F283" s="3"/>
      <c r="I283" s="3"/>
      <c r="J283" s="3"/>
      <c r="K283" s="3"/>
      <c r="L283" s="3"/>
      <c r="M283" s="3"/>
      <c r="N283" s="3"/>
      <c r="O283" s="3"/>
    </row>
    <row r="284" ht="15.75" customHeight="1">
      <c r="A284" s="3"/>
      <c r="B284" s="3"/>
      <c r="C284" s="3"/>
      <c r="D284" s="3"/>
      <c r="E284" s="3"/>
      <c r="F284" s="3"/>
      <c r="I284" s="3"/>
      <c r="J284" s="3"/>
      <c r="K284" s="3"/>
      <c r="L284" s="3"/>
      <c r="M284" s="3"/>
      <c r="N284" s="3"/>
      <c r="O284" s="3"/>
    </row>
    <row r="285" ht="15.75" customHeight="1">
      <c r="A285" s="3"/>
      <c r="B285" s="3"/>
      <c r="C285" s="3"/>
      <c r="D285" s="3"/>
      <c r="E285" s="3"/>
      <c r="F285" s="3"/>
      <c r="I285" s="3"/>
      <c r="J285" s="3"/>
      <c r="K285" s="3"/>
      <c r="L285" s="3"/>
      <c r="M285" s="3"/>
      <c r="N285" s="3"/>
      <c r="O285" s="3"/>
    </row>
    <row r="286" ht="15.75" customHeight="1">
      <c r="A286" s="3"/>
      <c r="B286" s="3"/>
      <c r="C286" s="3"/>
      <c r="D286" s="3"/>
      <c r="E286" s="3"/>
      <c r="F286" s="3"/>
      <c r="I286" s="3"/>
      <c r="J286" s="3"/>
      <c r="K286" s="3"/>
      <c r="L286" s="3"/>
      <c r="M286" s="3"/>
      <c r="N286" s="3"/>
      <c r="O286" s="3"/>
    </row>
    <row r="287" ht="15.75" customHeight="1">
      <c r="A287" s="3"/>
      <c r="B287" s="3"/>
      <c r="C287" s="3"/>
      <c r="D287" s="3"/>
      <c r="E287" s="3"/>
      <c r="F287" s="3"/>
      <c r="I287" s="3"/>
      <c r="J287" s="3"/>
      <c r="K287" s="3"/>
      <c r="L287" s="3"/>
      <c r="M287" s="3"/>
      <c r="N287" s="3"/>
      <c r="O287" s="3"/>
    </row>
    <row r="288" ht="15.75" customHeight="1">
      <c r="A288" s="3"/>
      <c r="B288" s="3"/>
      <c r="C288" s="3"/>
      <c r="D288" s="3"/>
      <c r="E288" s="3"/>
      <c r="F288" s="3"/>
      <c r="I288" s="3"/>
      <c r="J288" s="3"/>
      <c r="K288" s="3"/>
      <c r="L288" s="3"/>
      <c r="M288" s="3"/>
      <c r="N288" s="3"/>
      <c r="O288" s="3"/>
    </row>
    <row r="289" ht="15.75" customHeight="1">
      <c r="A289" s="3"/>
      <c r="B289" s="3"/>
      <c r="C289" s="3"/>
      <c r="D289" s="3"/>
      <c r="E289" s="3"/>
      <c r="F289" s="3"/>
      <c r="I289" s="3"/>
      <c r="J289" s="3"/>
      <c r="K289" s="3"/>
      <c r="L289" s="3"/>
      <c r="M289" s="3"/>
      <c r="N289" s="3"/>
      <c r="O289" s="3"/>
    </row>
    <row r="290" ht="15.75" customHeight="1">
      <c r="A290" s="3"/>
      <c r="B290" s="3"/>
      <c r="C290" s="3"/>
      <c r="D290" s="3"/>
      <c r="E290" s="3"/>
      <c r="F290" s="3"/>
      <c r="I290" s="3"/>
      <c r="J290" s="3"/>
      <c r="K290" s="3"/>
      <c r="L290" s="3"/>
      <c r="M290" s="3"/>
      <c r="N290" s="3"/>
      <c r="O290" s="3"/>
    </row>
    <row r="291" ht="15.75" customHeight="1">
      <c r="A291" s="3"/>
      <c r="B291" s="3"/>
      <c r="C291" s="3"/>
      <c r="D291" s="3"/>
      <c r="E291" s="3"/>
      <c r="F291" s="3"/>
      <c r="I291" s="3"/>
      <c r="J291" s="3"/>
      <c r="K291" s="3"/>
      <c r="L291" s="3"/>
      <c r="M291" s="3"/>
      <c r="N291" s="3"/>
      <c r="O291" s="3"/>
    </row>
    <row r="292" ht="15.75" customHeight="1">
      <c r="A292" s="3"/>
      <c r="B292" s="3"/>
      <c r="C292" s="3"/>
      <c r="D292" s="3"/>
      <c r="E292" s="3"/>
      <c r="F292" s="3"/>
      <c r="I292" s="3"/>
      <c r="J292" s="3"/>
      <c r="K292" s="3"/>
      <c r="L292" s="3"/>
      <c r="M292" s="3"/>
      <c r="N292" s="3"/>
      <c r="O292" s="3"/>
    </row>
    <row r="293" ht="15.75" customHeight="1">
      <c r="A293" s="3"/>
      <c r="B293" s="3"/>
      <c r="C293" s="3"/>
      <c r="D293" s="3"/>
      <c r="E293" s="3"/>
      <c r="F293" s="3"/>
      <c r="I293" s="3"/>
      <c r="J293" s="3"/>
      <c r="K293" s="3"/>
      <c r="L293" s="3"/>
      <c r="M293" s="3"/>
      <c r="N293" s="3"/>
      <c r="O293" s="3"/>
    </row>
    <row r="294" ht="15.75" customHeight="1">
      <c r="A294" s="3"/>
      <c r="B294" s="3"/>
      <c r="C294" s="3"/>
      <c r="D294" s="3"/>
      <c r="E294" s="3"/>
      <c r="F294" s="3"/>
      <c r="I294" s="3"/>
      <c r="J294" s="3"/>
      <c r="K294" s="3"/>
      <c r="L294" s="3"/>
      <c r="M294" s="3"/>
      <c r="N294" s="3"/>
      <c r="O294" s="3"/>
    </row>
    <row r="295" ht="15.75" customHeight="1">
      <c r="A295" s="3"/>
      <c r="B295" s="3"/>
      <c r="C295" s="3"/>
      <c r="D295" s="3"/>
      <c r="E295" s="3"/>
      <c r="F295" s="3"/>
      <c r="I295" s="3"/>
      <c r="J295" s="3"/>
      <c r="K295" s="3"/>
      <c r="L295" s="3"/>
      <c r="M295" s="3"/>
      <c r="N295" s="3"/>
      <c r="O295" s="3"/>
    </row>
    <row r="296" ht="15.75" customHeight="1">
      <c r="A296" s="3"/>
      <c r="B296" s="3"/>
      <c r="C296" s="3"/>
      <c r="D296" s="3"/>
      <c r="E296" s="3"/>
      <c r="F296" s="3"/>
      <c r="I296" s="3"/>
      <c r="J296" s="3"/>
      <c r="K296" s="3"/>
      <c r="L296" s="3"/>
      <c r="M296" s="3"/>
      <c r="N296" s="3"/>
      <c r="O296" s="3"/>
    </row>
    <row r="297" ht="15.75" customHeight="1">
      <c r="A297" s="3"/>
      <c r="B297" s="3"/>
      <c r="C297" s="3"/>
      <c r="D297" s="3"/>
      <c r="E297" s="3"/>
      <c r="F297" s="3"/>
      <c r="I297" s="3"/>
      <c r="J297" s="3"/>
      <c r="K297" s="3"/>
      <c r="L297" s="3"/>
      <c r="M297" s="3"/>
      <c r="N297" s="3"/>
      <c r="O297" s="3"/>
    </row>
    <row r="298" ht="15.75" customHeight="1">
      <c r="A298" s="3"/>
      <c r="B298" s="3"/>
      <c r="C298" s="3"/>
      <c r="D298" s="3"/>
      <c r="E298" s="3"/>
      <c r="F298" s="3"/>
      <c r="I298" s="3"/>
      <c r="J298" s="3"/>
      <c r="K298" s="3"/>
      <c r="L298" s="3"/>
      <c r="M298" s="3"/>
      <c r="N298" s="3"/>
      <c r="O298" s="3"/>
    </row>
    <row r="299" ht="15.75" customHeight="1">
      <c r="A299" s="3"/>
      <c r="B299" s="3"/>
      <c r="C299" s="3"/>
      <c r="D299" s="3"/>
      <c r="E299" s="3"/>
      <c r="F299" s="3"/>
      <c r="I299" s="3"/>
      <c r="J299" s="3"/>
      <c r="K299" s="3"/>
      <c r="L299" s="3"/>
      <c r="M299" s="3"/>
      <c r="N299" s="3"/>
      <c r="O299" s="3"/>
    </row>
    <row r="300" ht="15.75" customHeight="1">
      <c r="A300" s="3"/>
      <c r="B300" s="3"/>
      <c r="C300" s="3"/>
      <c r="D300" s="3"/>
      <c r="E300" s="3"/>
      <c r="F300" s="3"/>
      <c r="I300" s="3"/>
      <c r="J300" s="3"/>
      <c r="K300" s="3"/>
      <c r="L300" s="3"/>
      <c r="M300" s="3"/>
      <c r="N300" s="3"/>
      <c r="O300" s="3"/>
    </row>
    <row r="301" ht="15.75" customHeight="1">
      <c r="A301" s="3"/>
      <c r="B301" s="3"/>
      <c r="C301" s="3"/>
      <c r="D301" s="3"/>
      <c r="E301" s="3"/>
      <c r="F301" s="3"/>
      <c r="I301" s="3"/>
      <c r="J301" s="3"/>
      <c r="K301" s="3"/>
      <c r="L301" s="3"/>
      <c r="M301" s="3"/>
      <c r="N301" s="3"/>
      <c r="O301" s="3"/>
    </row>
    <row r="302" ht="15.75" customHeight="1">
      <c r="A302" s="3"/>
      <c r="B302" s="3"/>
      <c r="C302" s="3"/>
      <c r="D302" s="3"/>
      <c r="E302" s="3"/>
      <c r="F302" s="3"/>
      <c r="I302" s="3"/>
      <c r="J302" s="3"/>
      <c r="K302" s="3"/>
      <c r="L302" s="3"/>
      <c r="M302" s="3"/>
      <c r="N302" s="3"/>
      <c r="O302" s="3"/>
    </row>
    <row r="303" ht="15.75" customHeight="1">
      <c r="A303" s="3"/>
      <c r="B303" s="3"/>
      <c r="C303" s="3"/>
      <c r="D303" s="3"/>
      <c r="E303" s="3"/>
      <c r="F303" s="3"/>
      <c r="I303" s="3"/>
      <c r="J303" s="3"/>
      <c r="K303" s="3"/>
      <c r="L303" s="3"/>
      <c r="M303" s="3"/>
      <c r="N303" s="3"/>
      <c r="O303" s="3"/>
    </row>
    <row r="304" ht="15.75" customHeight="1">
      <c r="A304" s="3"/>
      <c r="B304" s="3"/>
      <c r="C304" s="3"/>
      <c r="D304" s="3"/>
      <c r="E304" s="3"/>
      <c r="F304" s="3"/>
      <c r="I304" s="3"/>
      <c r="J304" s="3"/>
      <c r="K304" s="3"/>
      <c r="L304" s="3"/>
      <c r="M304" s="3"/>
      <c r="N304" s="3"/>
      <c r="O304" s="3"/>
    </row>
    <row r="305" ht="15.75" customHeight="1">
      <c r="A305" s="3"/>
      <c r="B305" s="3"/>
      <c r="C305" s="3"/>
      <c r="D305" s="3"/>
      <c r="E305" s="3"/>
      <c r="F305" s="3"/>
      <c r="I305" s="3"/>
      <c r="J305" s="3"/>
      <c r="K305" s="3"/>
      <c r="L305" s="3"/>
      <c r="M305" s="3"/>
      <c r="N305" s="3"/>
      <c r="O305" s="3"/>
    </row>
    <row r="306" ht="15.75" customHeight="1">
      <c r="A306" s="3"/>
      <c r="B306" s="3"/>
      <c r="C306" s="3"/>
      <c r="D306" s="3"/>
      <c r="E306" s="3"/>
      <c r="F306" s="3"/>
      <c r="I306" s="3"/>
      <c r="J306" s="3"/>
      <c r="K306" s="3"/>
      <c r="L306" s="3"/>
      <c r="M306" s="3"/>
      <c r="N306" s="3"/>
      <c r="O306" s="3"/>
    </row>
    <row r="307" ht="15.75" customHeight="1">
      <c r="A307" s="3"/>
      <c r="B307" s="3"/>
      <c r="C307" s="3"/>
      <c r="D307" s="3"/>
      <c r="E307" s="3"/>
      <c r="F307" s="3"/>
      <c r="I307" s="3"/>
      <c r="J307" s="3"/>
      <c r="K307" s="3"/>
      <c r="L307" s="3"/>
      <c r="M307" s="3"/>
      <c r="N307" s="3"/>
      <c r="O307" s="3"/>
    </row>
    <row r="308" ht="15.75" customHeight="1">
      <c r="A308" s="3"/>
      <c r="B308" s="3"/>
      <c r="C308" s="3"/>
      <c r="D308" s="3"/>
      <c r="E308" s="3"/>
      <c r="F308" s="3"/>
      <c r="I308" s="3"/>
      <c r="J308" s="3"/>
      <c r="K308" s="3"/>
      <c r="L308" s="3"/>
      <c r="M308" s="3"/>
      <c r="N308" s="3"/>
      <c r="O308" s="3"/>
    </row>
    <row r="309" ht="15.75" customHeight="1">
      <c r="A309" s="3"/>
      <c r="B309" s="3"/>
      <c r="C309" s="3"/>
      <c r="D309" s="3"/>
      <c r="E309" s="3"/>
      <c r="F309" s="3"/>
      <c r="I309" s="3"/>
      <c r="J309" s="3"/>
      <c r="K309" s="3"/>
      <c r="L309" s="3"/>
      <c r="M309" s="3"/>
      <c r="N309" s="3"/>
      <c r="O309" s="3"/>
    </row>
    <row r="310" ht="15.75" customHeight="1">
      <c r="A310" s="3"/>
      <c r="B310" s="3"/>
      <c r="C310" s="3"/>
      <c r="D310" s="3"/>
      <c r="E310" s="3"/>
      <c r="F310" s="3"/>
      <c r="I310" s="3"/>
      <c r="J310" s="3"/>
      <c r="K310" s="3"/>
      <c r="L310" s="3"/>
      <c r="M310" s="3"/>
      <c r="N310" s="3"/>
      <c r="O310" s="3"/>
    </row>
    <row r="311" ht="15.75" customHeight="1">
      <c r="A311" s="3"/>
      <c r="B311" s="3"/>
      <c r="C311" s="3"/>
      <c r="D311" s="3"/>
      <c r="E311" s="3"/>
      <c r="F311" s="3"/>
      <c r="I311" s="3"/>
      <c r="J311" s="3"/>
      <c r="K311" s="3"/>
      <c r="L311" s="3"/>
      <c r="M311" s="3"/>
      <c r="N311" s="3"/>
      <c r="O311" s="3"/>
    </row>
    <row r="312" ht="15.75" customHeight="1">
      <c r="A312" s="3"/>
      <c r="B312" s="3"/>
      <c r="C312" s="3"/>
      <c r="D312" s="3"/>
      <c r="E312" s="3"/>
      <c r="F312" s="3"/>
      <c r="I312" s="3"/>
      <c r="J312" s="3"/>
      <c r="K312" s="3"/>
      <c r="L312" s="3"/>
      <c r="M312" s="3"/>
      <c r="N312" s="3"/>
      <c r="O312" s="3"/>
    </row>
    <row r="313" ht="15.75" customHeight="1">
      <c r="A313" s="3"/>
      <c r="B313" s="3"/>
      <c r="C313" s="3"/>
      <c r="D313" s="3"/>
      <c r="E313" s="3"/>
      <c r="F313" s="3"/>
      <c r="I313" s="3"/>
      <c r="J313" s="3"/>
      <c r="K313" s="3"/>
      <c r="L313" s="3"/>
      <c r="M313" s="3"/>
      <c r="N313" s="3"/>
      <c r="O313" s="3"/>
    </row>
    <row r="314" ht="15.75" customHeight="1">
      <c r="A314" s="3"/>
      <c r="B314" s="3"/>
      <c r="C314" s="3"/>
      <c r="D314" s="3"/>
      <c r="E314" s="3"/>
      <c r="F314" s="3"/>
      <c r="I314" s="3"/>
      <c r="J314" s="3"/>
      <c r="K314" s="3"/>
      <c r="L314" s="3"/>
      <c r="M314" s="3"/>
      <c r="N314" s="3"/>
      <c r="O314" s="3"/>
    </row>
    <row r="315" ht="15.75" customHeight="1">
      <c r="A315" s="3"/>
      <c r="B315" s="3"/>
      <c r="C315" s="3"/>
      <c r="D315" s="3"/>
      <c r="E315" s="3"/>
      <c r="F315" s="3"/>
      <c r="I315" s="3"/>
      <c r="J315" s="3"/>
      <c r="K315" s="3"/>
      <c r="L315" s="3"/>
      <c r="M315" s="3"/>
      <c r="N315" s="3"/>
      <c r="O315" s="3"/>
    </row>
    <row r="316" ht="15.75" customHeight="1">
      <c r="A316" s="3"/>
      <c r="B316" s="3"/>
      <c r="C316" s="3"/>
      <c r="D316" s="3"/>
      <c r="E316" s="3"/>
      <c r="F316" s="3"/>
      <c r="I316" s="3"/>
      <c r="J316" s="3"/>
      <c r="K316" s="3"/>
      <c r="L316" s="3"/>
      <c r="M316" s="3"/>
      <c r="N316" s="3"/>
      <c r="O316" s="3"/>
    </row>
    <row r="317" ht="15.75" customHeight="1">
      <c r="A317" s="3"/>
      <c r="B317" s="3"/>
      <c r="C317" s="3"/>
      <c r="D317" s="3"/>
      <c r="E317" s="3"/>
      <c r="F317" s="3"/>
      <c r="I317" s="3"/>
      <c r="J317" s="3"/>
      <c r="K317" s="3"/>
      <c r="L317" s="3"/>
      <c r="M317" s="3"/>
      <c r="N317" s="3"/>
      <c r="O317" s="3"/>
    </row>
    <row r="318" ht="15.75" customHeight="1">
      <c r="A318" s="3"/>
      <c r="B318" s="3"/>
      <c r="C318" s="3"/>
      <c r="D318" s="3"/>
      <c r="E318" s="3"/>
      <c r="F318" s="3"/>
      <c r="I318" s="3"/>
      <c r="J318" s="3"/>
      <c r="K318" s="3"/>
      <c r="L318" s="3"/>
      <c r="M318" s="3"/>
      <c r="N318" s="3"/>
      <c r="O318" s="3"/>
    </row>
    <row r="319" ht="15.75" customHeight="1">
      <c r="A319" s="3"/>
      <c r="B319" s="3"/>
      <c r="C319" s="3"/>
      <c r="D319" s="3"/>
      <c r="E319" s="3"/>
      <c r="F319" s="3"/>
      <c r="I319" s="3"/>
      <c r="J319" s="3"/>
      <c r="K319" s="3"/>
      <c r="L319" s="3"/>
      <c r="M319" s="3"/>
      <c r="N319" s="3"/>
      <c r="O319" s="3"/>
    </row>
    <row r="320" ht="15.75" customHeight="1">
      <c r="A320" s="3"/>
      <c r="B320" s="3"/>
      <c r="C320" s="3"/>
      <c r="D320" s="3"/>
      <c r="E320" s="3"/>
      <c r="F320" s="3"/>
      <c r="I320" s="3"/>
      <c r="J320" s="3"/>
      <c r="K320" s="3"/>
      <c r="L320" s="3"/>
      <c r="M320" s="3"/>
      <c r="N320" s="3"/>
      <c r="O320" s="3"/>
    </row>
    <row r="321" ht="15.75" customHeight="1">
      <c r="A321" s="3"/>
      <c r="B321" s="3"/>
      <c r="C321" s="3"/>
      <c r="D321" s="3"/>
      <c r="E321" s="3"/>
      <c r="F321" s="3"/>
      <c r="I321" s="3"/>
      <c r="J321" s="3"/>
      <c r="K321" s="3"/>
      <c r="L321" s="3"/>
      <c r="M321" s="3"/>
      <c r="N321" s="3"/>
      <c r="O321" s="3"/>
    </row>
    <row r="322" ht="15.75" customHeight="1">
      <c r="A322" s="3"/>
      <c r="B322" s="3"/>
      <c r="C322" s="3"/>
      <c r="D322" s="3"/>
      <c r="E322" s="3"/>
      <c r="F322" s="3"/>
      <c r="I322" s="3"/>
      <c r="J322" s="3"/>
      <c r="K322" s="3"/>
      <c r="L322" s="3"/>
      <c r="M322" s="3"/>
      <c r="N322" s="3"/>
      <c r="O322" s="3"/>
    </row>
    <row r="323" ht="15.75" customHeight="1">
      <c r="A323" s="3"/>
      <c r="B323" s="3"/>
      <c r="C323" s="3"/>
      <c r="D323" s="3"/>
      <c r="E323" s="3"/>
      <c r="F323" s="3"/>
      <c r="I323" s="3"/>
      <c r="J323" s="3"/>
      <c r="K323" s="3"/>
      <c r="L323" s="3"/>
      <c r="M323" s="3"/>
      <c r="N323" s="3"/>
      <c r="O323" s="3"/>
    </row>
    <row r="324" ht="15.75" customHeight="1">
      <c r="A324" s="3"/>
      <c r="B324" s="3"/>
      <c r="C324" s="3"/>
      <c r="D324" s="3"/>
      <c r="E324" s="3"/>
      <c r="F324" s="3"/>
      <c r="I324" s="3"/>
      <c r="J324" s="3"/>
      <c r="K324" s="3"/>
      <c r="L324" s="3"/>
      <c r="M324" s="3"/>
      <c r="N324" s="3"/>
      <c r="O324" s="3"/>
    </row>
    <row r="325" ht="15.75" customHeight="1">
      <c r="A325" s="3"/>
      <c r="B325" s="3"/>
      <c r="C325" s="3"/>
      <c r="D325" s="3"/>
      <c r="E325" s="3"/>
      <c r="F325" s="3"/>
      <c r="I325" s="3"/>
      <c r="J325" s="3"/>
      <c r="K325" s="3"/>
      <c r="L325" s="3"/>
      <c r="M325" s="3"/>
      <c r="N325" s="3"/>
      <c r="O325" s="3"/>
    </row>
    <row r="326" ht="15.75" customHeight="1">
      <c r="A326" s="3"/>
      <c r="B326" s="3"/>
      <c r="C326" s="3"/>
      <c r="D326" s="3"/>
      <c r="E326" s="3"/>
      <c r="F326" s="3"/>
      <c r="I326" s="3"/>
      <c r="J326" s="3"/>
      <c r="K326" s="3"/>
      <c r="L326" s="3"/>
      <c r="M326" s="3"/>
      <c r="N326" s="3"/>
      <c r="O326" s="3"/>
    </row>
    <row r="327" ht="15.75" customHeight="1">
      <c r="A327" s="3"/>
      <c r="B327" s="3"/>
      <c r="C327" s="3"/>
      <c r="D327" s="3"/>
      <c r="E327" s="3"/>
      <c r="F327" s="3"/>
      <c r="I327" s="3"/>
      <c r="J327" s="3"/>
      <c r="K327" s="3"/>
      <c r="L327" s="3"/>
      <c r="M327" s="3"/>
      <c r="N327" s="3"/>
      <c r="O327" s="3"/>
    </row>
    <row r="328" ht="15.75" customHeight="1">
      <c r="A328" s="3"/>
      <c r="B328" s="3"/>
      <c r="C328" s="3"/>
      <c r="D328" s="3"/>
      <c r="E328" s="3"/>
      <c r="F328" s="3"/>
      <c r="I328" s="3"/>
      <c r="J328" s="3"/>
      <c r="K328" s="3"/>
      <c r="L328" s="3"/>
      <c r="M328" s="3"/>
      <c r="N328" s="3"/>
      <c r="O328" s="3"/>
    </row>
    <row r="329" ht="15.75" customHeight="1">
      <c r="A329" s="3"/>
      <c r="B329" s="3"/>
      <c r="C329" s="3"/>
      <c r="D329" s="3"/>
      <c r="E329" s="3"/>
      <c r="F329" s="3"/>
      <c r="I329" s="3"/>
      <c r="J329" s="3"/>
      <c r="K329" s="3"/>
      <c r="L329" s="3"/>
      <c r="M329" s="3"/>
      <c r="N329" s="3"/>
      <c r="O329" s="3"/>
    </row>
    <row r="330" ht="15.75" customHeight="1">
      <c r="A330" s="3"/>
      <c r="B330" s="3"/>
      <c r="C330" s="3"/>
      <c r="D330" s="3"/>
      <c r="E330" s="3"/>
      <c r="F330" s="3"/>
      <c r="I330" s="3"/>
      <c r="J330" s="3"/>
      <c r="K330" s="3"/>
      <c r="L330" s="3"/>
      <c r="M330" s="3"/>
      <c r="N330" s="3"/>
      <c r="O330" s="3"/>
    </row>
    <row r="331" ht="15.75" customHeight="1">
      <c r="A331" s="3"/>
      <c r="B331" s="3"/>
      <c r="C331" s="3"/>
      <c r="D331" s="3"/>
      <c r="E331" s="3"/>
      <c r="F331" s="3"/>
      <c r="I331" s="3"/>
      <c r="J331" s="3"/>
      <c r="K331" s="3"/>
      <c r="L331" s="3"/>
      <c r="M331" s="3"/>
      <c r="N331" s="3"/>
      <c r="O331" s="3"/>
    </row>
    <row r="332" ht="15.75" customHeight="1">
      <c r="A332" s="3"/>
      <c r="B332" s="3"/>
      <c r="C332" s="3"/>
      <c r="D332" s="3"/>
      <c r="E332" s="3"/>
      <c r="F332" s="3"/>
      <c r="I332" s="3"/>
      <c r="J332" s="3"/>
      <c r="K332" s="3"/>
      <c r="L332" s="3"/>
      <c r="M332" s="3"/>
      <c r="N332" s="3"/>
      <c r="O332" s="3"/>
    </row>
    <row r="333" ht="15.75" customHeight="1">
      <c r="A333" s="3"/>
      <c r="B333" s="3"/>
      <c r="C333" s="3"/>
      <c r="D333" s="3"/>
      <c r="E333" s="3"/>
      <c r="F333" s="3"/>
      <c r="I333" s="3"/>
      <c r="J333" s="3"/>
      <c r="K333" s="3"/>
      <c r="L333" s="3"/>
      <c r="M333" s="3"/>
      <c r="N333" s="3"/>
      <c r="O333" s="3"/>
    </row>
    <row r="334" ht="15.75" customHeight="1">
      <c r="A334" s="3"/>
      <c r="B334" s="3"/>
      <c r="C334" s="3"/>
      <c r="D334" s="3"/>
      <c r="E334" s="3"/>
      <c r="F334" s="3"/>
      <c r="I334" s="3"/>
      <c r="J334" s="3"/>
      <c r="K334" s="3"/>
      <c r="L334" s="3"/>
      <c r="M334" s="3"/>
      <c r="N334" s="3"/>
      <c r="O334" s="3"/>
    </row>
    <row r="335" ht="15.75" customHeight="1">
      <c r="A335" s="3"/>
      <c r="B335" s="3"/>
      <c r="C335" s="3"/>
      <c r="D335" s="3"/>
      <c r="E335" s="3"/>
      <c r="F335" s="3"/>
      <c r="I335" s="3"/>
      <c r="J335" s="3"/>
      <c r="K335" s="3"/>
      <c r="L335" s="3"/>
      <c r="M335" s="3"/>
      <c r="N335" s="3"/>
      <c r="O335" s="3"/>
    </row>
    <row r="336" ht="15.75" customHeight="1">
      <c r="A336" s="3"/>
      <c r="B336" s="3"/>
      <c r="C336" s="3"/>
      <c r="D336" s="3"/>
      <c r="E336" s="3"/>
      <c r="F336" s="3"/>
      <c r="I336" s="3"/>
      <c r="J336" s="3"/>
      <c r="K336" s="3"/>
      <c r="L336" s="3"/>
      <c r="M336" s="3"/>
      <c r="N336" s="3"/>
      <c r="O336" s="3"/>
    </row>
    <row r="337" ht="15.75" customHeight="1">
      <c r="A337" s="3"/>
      <c r="B337" s="3"/>
      <c r="C337" s="3"/>
      <c r="D337" s="3"/>
      <c r="E337" s="3"/>
      <c r="F337" s="3"/>
      <c r="I337" s="3"/>
      <c r="J337" s="3"/>
      <c r="K337" s="3"/>
      <c r="L337" s="3"/>
      <c r="M337" s="3"/>
      <c r="N337" s="3"/>
      <c r="O337" s="3"/>
    </row>
    <row r="338" ht="15.75" customHeight="1">
      <c r="A338" s="3"/>
      <c r="B338" s="3"/>
      <c r="C338" s="3"/>
      <c r="D338" s="3"/>
      <c r="E338" s="3"/>
      <c r="F338" s="3"/>
      <c r="I338" s="3"/>
      <c r="J338" s="3"/>
      <c r="K338" s="3"/>
      <c r="L338" s="3"/>
      <c r="M338" s="3"/>
      <c r="N338" s="3"/>
      <c r="O338" s="3"/>
    </row>
    <row r="339" ht="15.75" customHeight="1">
      <c r="A339" s="3"/>
      <c r="B339" s="3"/>
      <c r="C339" s="3"/>
      <c r="D339" s="3"/>
      <c r="E339" s="3"/>
      <c r="F339" s="3"/>
      <c r="I339" s="3"/>
      <c r="J339" s="3"/>
      <c r="K339" s="3"/>
      <c r="L339" s="3"/>
      <c r="M339" s="3"/>
      <c r="N339" s="3"/>
      <c r="O339" s="3"/>
    </row>
    <row r="340" ht="15.75" customHeight="1">
      <c r="A340" s="3"/>
      <c r="B340" s="3"/>
      <c r="C340" s="3"/>
      <c r="D340" s="3"/>
      <c r="E340" s="3"/>
      <c r="F340" s="3"/>
      <c r="I340" s="3"/>
      <c r="J340" s="3"/>
      <c r="K340" s="3"/>
      <c r="L340" s="3"/>
      <c r="M340" s="3"/>
      <c r="N340" s="3"/>
      <c r="O340" s="3"/>
    </row>
    <row r="341" ht="15.75" customHeight="1">
      <c r="A341" s="3"/>
      <c r="B341" s="3"/>
      <c r="C341" s="3"/>
      <c r="D341" s="3"/>
      <c r="E341" s="3"/>
      <c r="F341" s="3"/>
      <c r="I341" s="3"/>
      <c r="J341" s="3"/>
      <c r="K341" s="3"/>
      <c r="L341" s="3"/>
      <c r="M341" s="3"/>
      <c r="N341" s="3"/>
      <c r="O341" s="3"/>
    </row>
    <row r="342" ht="15.75" customHeight="1">
      <c r="A342" s="3"/>
      <c r="B342" s="3"/>
      <c r="C342" s="3"/>
      <c r="D342" s="3"/>
      <c r="E342" s="3"/>
      <c r="F342" s="3"/>
      <c r="I342" s="3"/>
      <c r="J342" s="3"/>
      <c r="K342" s="3"/>
      <c r="L342" s="3"/>
      <c r="M342" s="3"/>
      <c r="N342" s="3"/>
      <c r="O342" s="3"/>
    </row>
    <row r="343" ht="15.75" customHeight="1">
      <c r="A343" s="3"/>
      <c r="B343" s="3"/>
      <c r="C343" s="3"/>
      <c r="D343" s="3"/>
      <c r="E343" s="3"/>
      <c r="F343" s="3"/>
      <c r="I343" s="3"/>
      <c r="J343" s="3"/>
      <c r="K343" s="3"/>
      <c r="L343" s="3"/>
      <c r="M343" s="3"/>
      <c r="N343" s="3"/>
      <c r="O343" s="3"/>
    </row>
    <row r="344" ht="15.75" customHeight="1">
      <c r="A344" s="3"/>
      <c r="B344" s="3"/>
      <c r="C344" s="3"/>
      <c r="D344" s="3"/>
      <c r="E344" s="3"/>
      <c r="F344" s="3"/>
      <c r="I344" s="3"/>
      <c r="J344" s="3"/>
      <c r="K344" s="3"/>
      <c r="L344" s="3"/>
      <c r="M344" s="3"/>
      <c r="N344" s="3"/>
      <c r="O344" s="3"/>
    </row>
    <row r="345" ht="15.75" customHeight="1">
      <c r="A345" s="3"/>
      <c r="B345" s="3"/>
      <c r="C345" s="3"/>
      <c r="D345" s="3"/>
      <c r="E345" s="3"/>
      <c r="F345" s="3"/>
      <c r="I345" s="3"/>
      <c r="J345" s="3"/>
      <c r="K345" s="3"/>
      <c r="L345" s="3"/>
      <c r="M345" s="3"/>
      <c r="N345" s="3"/>
      <c r="O345" s="3"/>
    </row>
    <row r="346" ht="15.75" customHeight="1">
      <c r="A346" s="3"/>
      <c r="B346" s="3"/>
      <c r="C346" s="3"/>
      <c r="D346" s="3"/>
      <c r="E346" s="3"/>
      <c r="F346" s="3"/>
      <c r="I346" s="3"/>
      <c r="J346" s="3"/>
      <c r="K346" s="3"/>
      <c r="L346" s="3"/>
      <c r="M346" s="3"/>
      <c r="N346" s="3"/>
      <c r="O346" s="3"/>
    </row>
    <row r="347" ht="15.75" customHeight="1">
      <c r="A347" s="3"/>
      <c r="B347" s="3"/>
      <c r="C347" s="3"/>
      <c r="D347" s="3"/>
      <c r="E347" s="3"/>
      <c r="F347" s="3"/>
      <c r="I347" s="3"/>
      <c r="J347" s="3"/>
      <c r="K347" s="3"/>
      <c r="L347" s="3"/>
      <c r="M347" s="3"/>
      <c r="N347" s="3"/>
      <c r="O347" s="3"/>
    </row>
    <row r="348" ht="15.75" customHeight="1">
      <c r="A348" s="3"/>
      <c r="B348" s="3"/>
      <c r="C348" s="3"/>
      <c r="D348" s="3"/>
      <c r="E348" s="3"/>
      <c r="F348" s="3"/>
      <c r="I348" s="3"/>
      <c r="J348" s="3"/>
      <c r="K348" s="3"/>
      <c r="L348" s="3"/>
      <c r="M348" s="3"/>
      <c r="N348" s="3"/>
      <c r="O348" s="3"/>
    </row>
    <row r="349" ht="15.75" customHeight="1">
      <c r="A349" s="3"/>
      <c r="B349" s="3"/>
      <c r="C349" s="3"/>
      <c r="D349" s="3"/>
      <c r="E349" s="3"/>
      <c r="F349" s="3"/>
      <c r="I349" s="3"/>
      <c r="J349" s="3"/>
      <c r="K349" s="3"/>
      <c r="L349" s="3"/>
      <c r="M349" s="3"/>
      <c r="N349" s="3"/>
      <c r="O349" s="3"/>
    </row>
    <row r="350" ht="15.75" customHeight="1">
      <c r="A350" s="3"/>
      <c r="B350" s="3"/>
      <c r="C350" s="3"/>
      <c r="D350" s="3"/>
      <c r="E350" s="3"/>
      <c r="F350" s="3"/>
      <c r="I350" s="3"/>
      <c r="J350" s="3"/>
      <c r="K350" s="3"/>
      <c r="L350" s="3"/>
      <c r="M350" s="3"/>
      <c r="N350" s="3"/>
      <c r="O350" s="3"/>
    </row>
    <row r="351" ht="15.75" customHeight="1">
      <c r="A351" s="3"/>
      <c r="B351" s="3"/>
      <c r="C351" s="3"/>
      <c r="D351" s="3"/>
      <c r="E351" s="3"/>
      <c r="F351" s="3"/>
      <c r="I351" s="3"/>
      <c r="J351" s="3"/>
      <c r="K351" s="3"/>
      <c r="L351" s="3"/>
      <c r="M351" s="3"/>
      <c r="N351" s="3"/>
      <c r="O351" s="3"/>
    </row>
    <row r="352" ht="15.75" customHeight="1">
      <c r="A352" s="3"/>
      <c r="B352" s="3"/>
      <c r="C352" s="3"/>
      <c r="D352" s="3"/>
      <c r="E352" s="3"/>
      <c r="F352" s="3"/>
      <c r="I352" s="3"/>
      <c r="J352" s="3"/>
      <c r="K352" s="3"/>
      <c r="L352" s="3"/>
      <c r="M352" s="3"/>
      <c r="N352" s="3"/>
      <c r="O352" s="3"/>
    </row>
    <row r="353" ht="15.75" customHeight="1">
      <c r="A353" s="3"/>
      <c r="B353" s="3"/>
      <c r="C353" s="3"/>
      <c r="D353" s="3"/>
      <c r="E353" s="3"/>
      <c r="F353" s="3"/>
      <c r="I353" s="3"/>
      <c r="J353" s="3"/>
      <c r="K353" s="3"/>
      <c r="L353" s="3"/>
      <c r="M353" s="3"/>
      <c r="N353" s="3"/>
      <c r="O353" s="3"/>
    </row>
    <row r="354" ht="15.75" customHeight="1">
      <c r="A354" s="3"/>
      <c r="B354" s="3"/>
      <c r="C354" s="3"/>
      <c r="D354" s="3"/>
      <c r="E354" s="3"/>
      <c r="F354" s="3"/>
      <c r="I354" s="3"/>
      <c r="J354" s="3"/>
      <c r="K354" s="3"/>
      <c r="L354" s="3"/>
      <c r="M354" s="3"/>
      <c r="N354" s="3"/>
      <c r="O354" s="3"/>
    </row>
    <row r="355" ht="15.75" customHeight="1">
      <c r="A355" s="3"/>
      <c r="B355" s="3"/>
      <c r="C355" s="3"/>
      <c r="D355" s="3"/>
      <c r="E355" s="3"/>
      <c r="F355" s="3"/>
      <c r="I355" s="3"/>
      <c r="J355" s="3"/>
      <c r="K355" s="3"/>
      <c r="L355" s="3"/>
      <c r="M355" s="3"/>
      <c r="N355" s="3"/>
      <c r="O355" s="3"/>
    </row>
    <row r="356" ht="15.75" customHeight="1">
      <c r="A356" s="3"/>
      <c r="B356" s="3"/>
      <c r="C356" s="3"/>
      <c r="D356" s="3"/>
      <c r="E356" s="3"/>
      <c r="F356" s="3"/>
      <c r="I356" s="3"/>
      <c r="J356" s="3"/>
      <c r="K356" s="3"/>
      <c r="L356" s="3"/>
      <c r="M356" s="3"/>
      <c r="N356" s="3"/>
      <c r="O356" s="3"/>
    </row>
    <row r="357" ht="15.75" customHeight="1">
      <c r="A357" s="3"/>
      <c r="B357" s="3"/>
      <c r="C357" s="3"/>
      <c r="D357" s="3"/>
      <c r="E357" s="3"/>
      <c r="F357" s="3"/>
      <c r="I357" s="3"/>
      <c r="J357" s="3"/>
      <c r="K357" s="3"/>
      <c r="L357" s="3"/>
      <c r="M357" s="3"/>
      <c r="N357" s="3"/>
      <c r="O357" s="3"/>
    </row>
    <row r="358" ht="15.75" customHeight="1">
      <c r="A358" s="3"/>
      <c r="B358" s="3"/>
      <c r="C358" s="3"/>
      <c r="D358" s="3"/>
      <c r="E358" s="3"/>
      <c r="F358" s="3"/>
      <c r="I358" s="3"/>
      <c r="J358" s="3"/>
      <c r="K358" s="3"/>
      <c r="L358" s="3"/>
      <c r="M358" s="3"/>
      <c r="N358" s="3"/>
      <c r="O358" s="3"/>
    </row>
    <row r="359" ht="15.75" customHeight="1">
      <c r="A359" s="3"/>
      <c r="B359" s="3"/>
      <c r="C359" s="3"/>
      <c r="D359" s="3"/>
      <c r="E359" s="3"/>
      <c r="F359" s="3"/>
      <c r="I359" s="3"/>
      <c r="J359" s="3"/>
      <c r="K359" s="3"/>
      <c r="L359" s="3"/>
      <c r="M359" s="3"/>
      <c r="N359" s="3"/>
      <c r="O359" s="3"/>
    </row>
    <row r="360" ht="15.75" customHeight="1">
      <c r="A360" s="3"/>
      <c r="B360" s="3"/>
      <c r="C360" s="3"/>
      <c r="D360" s="3"/>
      <c r="E360" s="3"/>
      <c r="F360" s="3"/>
      <c r="I360" s="3"/>
      <c r="J360" s="3"/>
      <c r="K360" s="3"/>
      <c r="L360" s="3"/>
      <c r="M360" s="3"/>
      <c r="N360" s="3"/>
      <c r="O360" s="3"/>
    </row>
    <row r="361" ht="15.75" customHeight="1">
      <c r="A361" s="3"/>
      <c r="B361" s="3"/>
      <c r="C361" s="3"/>
      <c r="D361" s="3"/>
      <c r="E361" s="3"/>
      <c r="F361" s="3"/>
      <c r="I361" s="3"/>
      <c r="J361" s="3"/>
      <c r="K361" s="3"/>
      <c r="L361" s="3"/>
      <c r="M361" s="3"/>
      <c r="N361" s="3"/>
      <c r="O361" s="3"/>
    </row>
    <row r="362" ht="15.75" customHeight="1">
      <c r="A362" s="3"/>
      <c r="B362" s="3"/>
      <c r="C362" s="3"/>
      <c r="D362" s="3"/>
      <c r="E362" s="3"/>
      <c r="F362" s="3"/>
      <c r="I362" s="3"/>
      <c r="J362" s="3"/>
      <c r="K362" s="3"/>
      <c r="L362" s="3"/>
      <c r="M362" s="3"/>
      <c r="N362" s="3"/>
      <c r="O362" s="3"/>
    </row>
    <row r="363" ht="15.75" customHeight="1">
      <c r="A363" s="3"/>
      <c r="B363" s="3"/>
      <c r="C363" s="3"/>
      <c r="D363" s="3"/>
      <c r="E363" s="3"/>
      <c r="F363" s="3"/>
      <c r="I363" s="3"/>
      <c r="J363" s="3"/>
      <c r="K363" s="3"/>
      <c r="L363" s="3"/>
      <c r="M363" s="3"/>
      <c r="N363" s="3"/>
      <c r="O363" s="3"/>
    </row>
    <row r="364" ht="15.75" customHeight="1">
      <c r="A364" s="3"/>
      <c r="B364" s="3"/>
      <c r="C364" s="3"/>
      <c r="D364" s="3"/>
      <c r="E364" s="3"/>
      <c r="F364" s="3"/>
      <c r="I364" s="3"/>
      <c r="J364" s="3"/>
      <c r="K364" s="3"/>
      <c r="L364" s="3"/>
      <c r="M364" s="3"/>
      <c r="N364" s="3"/>
      <c r="O364" s="3"/>
    </row>
    <row r="365" ht="15.75" customHeight="1">
      <c r="A365" s="3"/>
      <c r="B365" s="3"/>
      <c r="C365" s="3"/>
      <c r="D365" s="3"/>
      <c r="E365" s="3"/>
      <c r="F365" s="3"/>
      <c r="I365" s="3"/>
      <c r="J365" s="3"/>
      <c r="K365" s="3"/>
      <c r="L365" s="3"/>
      <c r="M365" s="3"/>
      <c r="N365" s="3"/>
      <c r="O365" s="3"/>
    </row>
    <row r="366" ht="15.75" customHeight="1">
      <c r="A366" s="3"/>
      <c r="B366" s="3"/>
      <c r="C366" s="3"/>
      <c r="D366" s="3"/>
      <c r="E366" s="3"/>
      <c r="F366" s="3"/>
      <c r="I366" s="3"/>
      <c r="J366" s="3"/>
      <c r="K366" s="3"/>
      <c r="L366" s="3"/>
      <c r="M366" s="3"/>
      <c r="N366" s="3"/>
      <c r="O366" s="3"/>
    </row>
    <row r="367" ht="15.75" customHeight="1">
      <c r="A367" s="3"/>
      <c r="B367" s="3"/>
      <c r="C367" s="3"/>
      <c r="D367" s="3"/>
      <c r="E367" s="3"/>
      <c r="F367" s="3"/>
      <c r="I367" s="3"/>
      <c r="J367" s="3"/>
      <c r="K367" s="3"/>
      <c r="L367" s="3"/>
      <c r="M367" s="3"/>
      <c r="N367" s="3"/>
      <c r="O367" s="3"/>
    </row>
    <row r="368" ht="15.75" customHeight="1">
      <c r="A368" s="3"/>
      <c r="B368" s="3"/>
      <c r="C368" s="3"/>
      <c r="D368" s="3"/>
      <c r="E368" s="3"/>
      <c r="F368" s="3"/>
      <c r="I368" s="3"/>
      <c r="J368" s="3"/>
      <c r="K368" s="3"/>
      <c r="L368" s="3"/>
      <c r="M368" s="3"/>
      <c r="N368" s="3"/>
      <c r="O368" s="3"/>
    </row>
    <row r="369" ht="15.75" customHeight="1">
      <c r="A369" s="3"/>
      <c r="B369" s="3"/>
      <c r="C369" s="3"/>
      <c r="D369" s="3"/>
      <c r="E369" s="3"/>
      <c r="F369" s="3"/>
      <c r="I369" s="3"/>
      <c r="J369" s="3"/>
      <c r="K369" s="3"/>
      <c r="L369" s="3"/>
      <c r="M369" s="3"/>
      <c r="N369" s="3"/>
      <c r="O369" s="3"/>
    </row>
    <row r="370" ht="15.75" customHeight="1">
      <c r="A370" s="3"/>
      <c r="B370" s="3"/>
      <c r="C370" s="3"/>
      <c r="D370" s="3"/>
      <c r="E370" s="3"/>
      <c r="F370" s="3"/>
      <c r="I370" s="3"/>
      <c r="J370" s="3"/>
      <c r="K370" s="3"/>
      <c r="L370" s="3"/>
      <c r="M370" s="3"/>
      <c r="N370" s="3"/>
      <c r="O370" s="3"/>
    </row>
    <row r="371" ht="15.75" customHeight="1">
      <c r="A371" s="3"/>
      <c r="B371" s="3"/>
      <c r="C371" s="3"/>
      <c r="D371" s="3"/>
      <c r="E371" s="3"/>
      <c r="F371" s="3"/>
      <c r="I371" s="3"/>
      <c r="J371" s="3"/>
      <c r="K371" s="3"/>
      <c r="L371" s="3"/>
      <c r="M371" s="3"/>
      <c r="N371" s="3"/>
      <c r="O371" s="3"/>
    </row>
    <row r="372" ht="15.75" customHeight="1">
      <c r="A372" s="3"/>
      <c r="B372" s="3"/>
      <c r="C372" s="3"/>
      <c r="D372" s="3"/>
      <c r="E372" s="3"/>
      <c r="F372" s="3"/>
      <c r="I372" s="3"/>
      <c r="J372" s="3"/>
      <c r="K372" s="3"/>
      <c r="L372" s="3"/>
      <c r="M372" s="3"/>
      <c r="N372" s="3"/>
      <c r="O372" s="3"/>
    </row>
    <row r="373" ht="15.75" customHeight="1">
      <c r="A373" s="3"/>
      <c r="B373" s="3"/>
      <c r="C373" s="3"/>
      <c r="D373" s="3"/>
      <c r="E373" s="3"/>
      <c r="F373" s="3"/>
      <c r="I373" s="3"/>
      <c r="J373" s="3"/>
      <c r="K373" s="3"/>
      <c r="L373" s="3"/>
      <c r="M373" s="3"/>
      <c r="N373" s="3"/>
      <c r="O373" s="3"/>
    </row>
    <row r="374" ht="15.75" customHeight="1">
      <c r="A374" s="3"/>
      <c r="B374" s="3"/>
      <c r="C374" s="3"/>
      <c r="D374" s="3"/>
      <c r="E374" s="3"/>
      <c r="F374" s="3"/>
      <c r="I374" s="3"/>
      <c r="J374" s="3"/>
      <c r="K374" s="3"/>
      <c r="L374" s="3"/>
      <c r="M374" s="3"/>
      <c r="N374" s="3"/>
      <c r="O374" s="3"/>
    </row>
    <row r="375" ht="15.75" customHeight="1">
      <c r="A375" s="3"/>
      <c r="B375" s="3"/>
      <c r="C375" s="3"/>
      <c r="D375" s="3"/>
      <c r="E375" s="3"/>
      <c r="F375" s="3"/>
      <c r="I375" s="3"/>
      <c r="J375" s="3"/>
      <c r="K375" s="3"/>
      <c r="L375" s="3"/>
      <c r="M375" s="3"/>
      <c r="N375" s="3"/>
      <c r="O375" s="3"/>
    </row>
    <row r="376" ht="15.75" customHeight="1">
      <c r="A376" s="3"/>
      <c r="B376" s="3"/>
      <c r="C376" s="3"/>
      <c r="D376" s="3"/>
      <c r="E376" s="3"/>
      <c r="F376" s="3"/>
      <c r="I376" s="3"/>
      <c r="J376" s="3"/>
      <c r="K376" s="3"/>
      <c r="L376" s="3"/>
      <c r="M376" s="3"/>
      <c r="N376" s="3"/>
      <c r="O376" s="3"/>
    </row>
    <row r="377" ht="15.75" customHeight="1">
      <c r="A377" s="3"/>
      <c r="B377" s="3"/>
      <c r="C377" s="3"/>
      <c r="D377" s="3"/>
      <c r="E377" s="3"/>
      <c r="F377" s="3"/>
      <c r="I377" s="3"/>
      <c r="J377" s="3"/>
      <c r="K377" s="3"/>
      <c r="L377" s="3"/>
      <c r="M377" s="3"/>
      <c r="N377" s="3"/>
      <c r="O377" s="3"/>
    </row>
    <row r="378" ht="15.75" customHeight="1">
      <c r="A378" s="3"/>
      <c r="B378" s="3"/>
      <c r="C378" s="3"/>
      <c r="D378" s="3"/>
      <c r="E378" s="3"/>
      <c r="F378" s="3"/>
      <c r="I378" s="3"/>
      <c r="J378" s="3"/>
      <c r="K378" s="3"/>
      <c r="L378" s="3"/>
      <c r="M378" s="3"/>
      <c r="N378" s="3"/>
      <c r="O378" s="3"/>
    </row>
    <row r="379" ht="15.75" customHeight="1">
      <c r="A379" s="3"/>
      <c r="B379" s="3"/>
      <c r="C379" s="3"/>
      <c r="D379" s="3"/>
      <c r="E379" s="3"/>
      <c r="F379" s="3"/>
      <c r="I379" s="3"/>
      <c r="J379" s="3"/>
      <c r="K379" s="3"/>
      <c r="L379" s="3"/>
      <c r="M379" s="3"/>
      <c r="N379" s="3"/>
      <c r="O379" s="3"/>
    </row>
    <row r="380" ht="15.75" customHeight="1">
      <c r="A380" s="3"/>
      <c r="B380" s="3"/>
      <c r="C380" s="3"/>
      <c r="D380" s="3"/>
      <c r="E380" s="3"/>
      <c r="F380" s="3"/>
      <c r="I380" s="3"/>
      <c r="J380" s="3"/>
      <c r="K380" s="3"/>
      <c r="L380" s="3"/>
      <c r="M380" s="3"/>
      <c r="N380" s="3"/>
      <c r="O380" s="3"/>
    </row>
    <row r="381" ht="15.75" customHeight="1">
      <c r="A381" s="3"/>
      <c r="B381" s="3"/>
      <c r="C381" s="3"/>
      <c r="D381" s="3"/>
      <c r="E381" s="3"/>
      <c r="F381" s="3"/>
      <c r="I381" s="3"/>
      <c r="J381" s="3"/>
      <c r="K381" s="3"/>
      <c r="L381" s="3"/>
      <c r="M381" s="3"/>
      <c r="N381" s="3"/>
      <c r="O381" s="3"/>
    </row>
    <row r="382" ht="15.75" customHeight="1">
      <c r="A382" s="3"/>
      <c r="B382" s="3"/>
      <c r="C382" s="3"/>
      <c r="D382" s="3"/>
      <c r="E382" s="3"/>
      <c r="F382" s="3"/>
      <c r="I382" s="3"/>
      <c r="J382" s="3"/>
      <c r="K382" s="3"/>
      <c r="L382" s="3"/>
      <c r="M382" s="3"/>
      <c r="N382" s="3"/>
      <c r="O382" s="3"/>
    </row>
    <row r="383" ht="15.75" customHeight="1">
      <c r="A383" s="3"/>
      <c r="B383" s="3"/>
      <c r="C383" s="3"/>
      <c r="D383" s="3"/>
      <c r="E383" s="3"/>
      <c r="F383" s="3"/>
      <c r="I383" s="3"/>
      <c r="J383" s="3"/>
      <c r="K383" s="3"/>
      <c r="L383" s="3"/>
      <c r="M383" s="3"/>
      <c r="N383" s="3"/>
      <c r="O383" s="3"/>
    </row>
    <row r="384" ht="15.75" customHeight="1">
      <c r="A384" s="3"/>
      <c r="B384" s="3"/>
      <c r="C384" s="3"/>
      <c r="D384" s="3"/>
      <c r="E384" s="3"/>
      <c r="F384" s="3"/>
      <c r="I384" s="3"/>
      <c r="J384" s="3"/>
      <c r="K384" s="3"/>
      <c r="L384" s="3"/>
      <c r="M384" s="3"/>
      <c r="N384" s="3"/>
      <c r="O384" s="3"/>
    </row>
    <row r="385" ht="15.75" customHeight="1">
      <c r="A385" s="3"/>
      <c r="B385" s="3"/>
      <c r="C385" s="3"/>
      <c r="D385" s="3"/>
      <c r="E385" s="3"/>
      <c r="F385" s="3"/>
      <c r="I385" s="3"/>
      <c r="J385" s="3"/>
      <c r="K385" s="3"/>
      <c r="L385" s="3"/>
      <c r="M385" s="3"/>
      <c r="N385" s="3"/>
      <c r="O385" s="3"/>
    </row>
    <row r="386" ht="15.75" customHeight="1">
      <c r="A386" s="3"/>
      <c r="B386" s="3"/>
      <c r="C386" s="3"/>
      <c r="D386" s="3"/>
      <c r="E386" s="3"/>
      <c r="F386" s="3"/>
      <c r="I386" s="3"/>
      <c r="J386" s="3"/>
      <c r="K386" s="3"/>
      <c r="L386" s="3"/>
      <c r="M386" s="3"/>
      <c r="N386" s="3"/>
      <c r="O386" s="3"/>
    </row>
    <row r="387" ht="15.75" customHeight="1">
      <c r="A387" s="3"/>
      <c r="B387" s="3"/>
      <c r="C387" s="3"/>
      <c r="D387" s="3"/>
      <c r="E387" s="3"/>
      <c r="F387" s="3"/>
      <c r="I387" s="3"/>
      <c r="J387" s="3"/>
      <c r="K387" s="3"/>
      <c r="L387" s="3"/>
      <c r="M387" s="3"/>
      <c r="N387" s="3"/>
      <c r="O387" s="3"/>
    </row>
    <row r="388" ht="15.75" customHeight="1">
      <c r="A388" s="3"/>
      <c r="B388" s="3"/>
      <c r="C388" s="3"/>
      <c r="D388" s="3"/>
      <c r="E388" s="3"/>
      <c r="F388" s="3"/>
      <c r="I388" s="3"/>
      <c r="J388" s="3"/>
      <c r="K388" s="3"/>
      <c r="L388" s="3"/>
      <c r="M388" s="3"/>
      <c r="N388" s="3"/>
      <c r="O388" s="3"/>
    </row>
    <row r="389" ht="15.75" customHeight="1">
      <c r="A389" s="3"/>
      <c r="B389" s="3"/>
      <c r="C389" s="3"/>
      <c r="D389" s="3"/>
      <c r="E389" s="3"/>
      <c r="F389" s="3"/>
      <c r="I389" s="3"/>
      <c r="J389" s="3"/>
      <c r="K389" s="3"/>
      <c r="L389" s="3"/>
      <c r="M389" s="3"/>
      <c r="N389" s="3"/>
      <c r="O389" s="3"/>
    </row>
    <row r="390" ht="15.75" customHeight="1">
      <c r="A390" s="3"/>
      <c r="B390" s="3"/>
      <c r="C390" s="3"/>
      <c r="D390" s="3"/>
      <c r="E390" s="3"/>
      <c r="F390" s="3"/>
      <c r="I390" s="3"/>
      <c r="J390" s="3"/>
      <c r="K390" s="3"/>
      <c r="L390" s="3"/>
      <c r="M390" s="3"/>
      <c r="N390" s="3"/>
      <c r="O390" s="3"/>
    </row>
    <row r="391" ht="15.75" customHeight="1">
      <c r="A391" s="3"/>
      <c r="B391" s="3"/>
      <c r="C391" s="3"/>
      <c r="D391" s="3"/>
      <c r="E391" s="3"/>
      <c r="F391" s="3"/>
      <c r="I391" s="3"/>
      <c r="J391" s="3"/>
      <c r="K391" s="3"/>
      <c r="L391" s="3"/>
      <c r="M391" s="3"/>
      <c r="N391" s="3"/>
      <c r="O391" s="3"/>
    </row>
    <row r="392" ht="15.75" customHeight="1">
      <c r="A392" s="3"/>
      <c r="B392" s="3"/>
      <c r="C392" s="3"/>
      <c r="D392" s="3"/>
      <c r="E392" s="3"/>
      <c r="F392" s="3"/>
      <c r="I392" s="3"/>
      <c r="J392" s="3"/>
      <c r="K392" s="3"/>
      <c r="L392" s="3"/>
      <c r="M392" s="3"/>
      <c r="N392" s="3"/>
      <c r="O392" s="3"/>
    </row>
    <row r="393" ht="15.75" customHeight="1">
      <c r="A393" s="3"/>
      <c r="B393" s="3"/>
      <c r="C393" s="3"/>
      <c r="D393" s="3"/>
      <c r="E393" s="3"/>
      <c r="F393" s="3"/>
      <c r="I393" s="3"/>
      <c r="J393" s="3"/>
      <c r="K393" s="3"/>
      <c r="L393" s="3"/>
      <c r="M393" s="3"/>
      <c r="N393" s="3"/>
      <c r="O393" s="3"/>
    </row>
    <row r="394" ht="15.75" customHeight="1">
      <c r="A394" s="3"/>
      <c r="B394" s="3"/>
      <c r="C394" s="3"/>
      <c r="D394" s="3"/>
      <c r="E394" s="3"/>
      <c r="F394" s="3"/>
      <c r="I394" s="3"/>
      <c r="J394" s="3"/>
      <c r="K394" s="3"/>
      <c r="L394" s="3"/>
      <c r="M394" s="3"/>
      <c r="N394" s="3"/>
      <c r="O394" s="3"/>
    </row>
    <row r="395" ht="15.75" customHeight="1">
      <c r="A395" s="3"/>
      <c r="B395" s="3"/>
      <c r="C395" s="3"/>
      <c r="D395" s="3"/>
      <c r="E395" s="3"/>
      <c r="F395" s="3"/>
      <c r="I395" s="3"/>
      <c r="J395" s="3"/>
      <c r="K395" s="3"/>
      <c r="L395" s="3"/>
      <c r="M395" s="3"/>
      <c r="N395" s="3"/>
      <c r="O395" s="3"/>
    </row>
    <row r="396" ht="15.75" customHeight="1">
      <c r="A396" s="3"/>
      <c r="B396" s="3"/>
      <c r="C396" s="3"/>
      <c r="D396" s="3"/>
      <c r="E396" s="3"/>
      <c r="F396" s="3"/>
      <c r="I396" s="3"/>
      <c r="J396" s="3"/>
      <c r="K396" s="3"/>
      <c r="L396" s="3"/>
      <c r="M396" s="3"/>
      <c r="N396" s="3"/>
      <c r="O396" s="3"/>
    </row>
    <row r="397" ht="15.75" customHeight="1">
      <c r="A397" s="3"/>
      <c r="B397" s="3"/>
      <c r="C397" s="3"/>
      <c r="D397" s="3"/>
      <c r="E397" s="3"/>
      <c r="F397" s="3"/>
      <c r="I397" s="3"/>
      <c r="J397" s="3"/>
      <c r="K397" s="3"/>
      <c r="L397" s="3"/>
      <c r="M397" s="3"/>
      <c r="N397" s="3"/>
      <c r="O397" s="3"/>
    </row>
    <row r="398" ht="15.75" customHeight="1">
      <c r="A398" s="3"/>
      <c r="B398" s="3"/>
      <c r="C398" s="3"/>
      <c r="D398" s="3"/>
      <c r="E398" s="3"/>
      <c r="F398" s="3"/>
      <c r="I398" s="3"/>
      <c r="J398" s="3"/>
      <c r="K398" s="3"/>
      <c r="L398" s="3"/>
      <c r="M398" s="3"/>
      <c r="N398" s="3"/>
      <c r="O398" s="3"/>
    </row>
    <row r="399" ht="15.75" customHeight="1">
      <c r="A399" s="3"/>
      <c r="B399" s="3"/>
      <c r="C399" s="3"/>
      <c r="D399" s="3"/>
      <c r="E399" s="3"/>
      <c r="F399" s="3"/>
      <c r="I399" s="3"/>
      <c r="J399" s="3"/>
      <c r="K399" s="3"/>
      <c r="L399" s="3"/>
      <c r="M399" s="3"/>
      <c r="N399" s="3"/>
      <c r="O399" s="3"/>
    </row>
    <row r="400" ht="15.75" customHeight="1">
      <c r="A400" s="3"/>
      <c r="B400" s="3"/>
      <c r="C400" s="3"/>
      <c r="D400" s="3"/>
      <c r="E400" s="3"/>
      <c r="F400" s="3"/>
      <c r="I400" s="3"/>
      <c r="J400" s="3"/>
      <c r="K400" s="3"/>
      <c r="L400" s="3"/>
      <c r="M400" s="3"/>
      <c r="N400" s="3"/>
      <c r="O400" s="3"/>
    </row>
    <row r="401" ht="15.75" customHeight="1">
      <c r="A401" s="3"/>
      <c r="B401" s="3"/>
      <c r="C401" s="3"/>
      <c r="D401" s="3"/>
      <c r="E401" s="3"/>
      <c r="F401" s="3"/>
      <c r="I401" s="3"/>
      <c r="J401" s="3"/>
      <c r="K401" s="3"/>
      <c r="L401" s="3"/>
      <c r="M401" s="3"/>
      <c r="N401" s="3"/>
      <c r="O401" s="3"/>
    </row>
    <row r="402" ht="15.75" customHeight="1">
      <c r="A402" s="3"/>
      <c r="B402" s="3"/>
      <c r="C402" s="3"/>
      <c r="D402" s="3"/>
      <c r="E402" s="3"/>
      <c r="F402" s="3"/>
      <c r="I402" s="3"/>
      <c r="J402" s="3"/>
      <c r="K402" s="3"/>
      <c r="L402" s="3"/>
      <c r="M402" s="3"/>
      <c r="N402" s="3"/>
      <c r="O402" s="3"/>
    </row>
    <row r="403" ht="15.75" customHeight="1">
      <c r="A403" s="3"/>
      <c r="B403" s="3"/>
      <c r="C403" s="3"/>
      <c r="D403" s="3"/>
      <c r="E403" s="3"/>
      <c r="F403" s="3"/>
      <c r="I403" s="3"/>
      <c r="J403" s="3"/>
      <c r="K403" s="3"/>
      <c r="L403" s="3"/>
      <c r="M403" s="3"/>
      <c r="N403" s="3"/>
      <c r="O403" s="3"/>
    </row>
    <row r="404" ht="15.75" customHeight="1">
      <c r="A404" s="3"/>
      <c r="B404" s="3"/>
      <c r="C404" s="3"/>
      <c r="D404" s="3"/>
      <c r="E404" s="3"/>
      <c r="F404" s="3"/>
      <c r="I404" s="3"/>
      <c r="J404" s="3"/>
      <c r="K404" s="3"/>
      <c r="L404" s="3"/>
      <c r="M404" s="3"/>
      <c r="N404" s="3"/>
      <c r="O404" s="3"/>
    </row>
    <row r="405" ht="15.75" customHeight="1">
      <c r="A405" s="3"/>
      <c r="B405" s="3"/>
      <c r="C405" s="3"/>
      <c r="D405" s="3"/>
      <c r="E405" s="3"/>
      <c r="F405" s="3"/>
      <c r="I405" s="3"/>
      <c r="J405" s="3"/>
      <c r="K405" s="3"/>
      <c r="L405" s="3"/>
      <c r="M405" s="3"/>
      <c r="N405" s="3"/>
      <c r="O405" s="3"/>
    </row>
    <row r="406" ht="15.75" customHeight="1">
      <c r="A406" s="3"/>
      <c r="B406" s="3"/>
      <c r="C406" s="3"/>
      <c r="D406" s="3"/>
      <c r="E406" s="3"/>
      <c r="F406" s="3"/>
      <c r="I406" s="3"/>
      <c r="J406" s="3"/>
      <c r="K406" s="3"/>
      <c r="L406" s="3"/>
      <c r="M406" s="3"/>
      <c r="N406" s="3"/>
      <c r="O406" s="3"/>
    </row>
    <row r="407" ht="15.75" customHeight="1">
      <c r="A407" s="3"/>
      <c r="B407" s="3"/>
      <c r="C407" s="3"/>
      <c r="D407" s="3"/>
      <c r="E407" s="3"/>
      <c r="F407" s="3"/>
      <c r="I407" s="3"/>
      <c r="J407" s="3"/>
      <c r="K407" s="3"/>
      <c r="L407" s="3"/>
      <c r="M407" s="3"/>
      <c r="N407" s="3"/>
      <c r="O407" s="3"/>
    </row>
    <row r="408" ht="15.75" customHeight="1">
      <c r="A408" s="3"/>
      <c r="B408" s="3"/>
      <c r="C408" s="3"/>
      <c r="D408" s="3"/>
      <c r="E408" s="3"/>
      <c r="F408" s="3"/>
      <c r="I408" s="3"/>
      <c r="J408" s="3"/>
      <c r="K408" s="3"/>
      <c r="L408" s="3"/>
      <c r="M408" s="3"/>
      <c r="N408" s="3"/>
      <c r="O408" s="3"/>
    </row>
    <row r="409" ht="15.75" customHeight="1">
      <c r="A409" s="3"/>
      <c r="B409" s="3"/>
      <c r="C409" s="3"/>
      <c r="D409" s="3"/>
      <c r="E409" s="3"/>
      <c r="F409" s="3"/>
      <c r="I409" s="3"/>
      <c r="J409" s="3"/>
      <c r="K409" s="3"/>
      <c r="L409" s="3"/>
      <c r="M409" s="3"/>
      <c r="N409" s="3"/>
      <c r="O409" s="3"/>
    </row>
    <row r="410" ht="15.75" customHeight="1">
      <c r="A410" s="3"/>
      <c r="B410" s="3"/>
      <c r="C410" s="3"/>
      <c r="D410" s="3"/>
      <c r="E410" s="3"/>
      <c r="F410" s="3"/>
      <c r="I410" s="3"/>
      <c r="J410" s="3"/>
      <c r="K410" s="3"/>
      <c r="L410" s="3"/>
      <c r="M410" s="3"/>
      <c r="N410" s="3"/>
      <c r="O410" s="3"/>
    </row>
    <row r="411" ht="15.75" customHeight="1">
      <c r="A411" s="3"/>
      <c r="B411" s="3"/>
      <c r="C411" s="3"/>
      <c r="D411" s="3"/>
      <c r="E411" s="3"/>
      <c r="F411" s="3"/>
      <c r="I411" s="3"/>
      <c r="J411" s="3"/>
      <c r="K411" s="3"/>
      <c r="L411" s="3"/>
      <c r="M411" s="3"/>
      <c r="N411" s="3"/>
      <c r="O411" s="3"/>
    </row>
    <row r="412" ht="15.75" customHeight="1">
      <c r="A412" s="3"/>
      <c r="B412" s="3"/>
      <c r="C412" s="3"/>
      <c r="D412" s="3"/>
      <c r="E412" s="3"/>
      <c r="F412" s="3"/>
      <c r="I412" s="3"/>
      <c r="J412" s="3"/>
      <c r="K412" s="3"/>
      <c r="L412" s="3"/>
      <c r="M412" s="3"/>
      <c r="N412" s="3"/>
      <c r="O412" s="3"/>
    </row>
    <row r="413" ht="15.75" customHeight="1">
      <c r="A413" s="3"/>
      <c r="B413" s="3"/>
      <c r="C413" s="3"/>
      <c r="D413" s="3"/>
      <c r="E413" s="3"/>
      <c r="F413" s="3"/>
      <c r="I413" s="3"/>
      <c r="J413" s="3"/>
      <c r="K413" s="3"/>
      <c r="L413" s="3"/>
      <c r="M413" s="3"/>
      <c r="N413" s="3"/>
      <c r="O413" s="3"/>
    </row>
    <row r="414" ht="15.75" customHeight="1">
      <c r="A414" s="3"/>
      <c r="B414" s="3"/>
      <c r="C414" s="3"/>
      <c r="D414" s="3"/>
      <c r="E414" s="3"/>
      <c r="F414" s="3"/>
      <c r="I414" s="3"/>
      <c r="J414" s="3"/>
      <c r="K414" s="3"/>
      <c r="L414" s="3"/>
      <c r="M414" s="3"/>
      <c r="N414" s="3"/>
      <c r="O414" s="3"/>
    </row>
    <row r="415" ht="15.75" customHeight="1">
      <c r="A415" s="3"/>
      <c r="B415" s="3"/>
      <c r="C415" s="3"/>
      <c r="D415" s="3"/>
      <c r="E415" s="3"/>
      <c r="F415" s="3"/>
      <c r="I415" s="3"/>
      <c r="J415" s="3"/>
      <c r="K415" s="3"/>
      <c r="L415" s="3"/>
      <c r="M415" s="3"/>
      <c r="N415" s="3"/>
      <c r="O415" s="3"/>
    </row>
    <row r="416" ht="15.75" customHeight="1">
      <c r="A416" s="3"/>
      <c r="B416" s="3"/>
      <c r="C416" s="3"/>
      <c r="D416" s="3"/>
      <c r="E416" s="3"/>
      <c r="F416" s="3"/>
      <c r="I416" s="3"/>
      <c r="J416" s="3"/>
      <c r="K416" s="3"/>
      <c r="L416" s="3"/>
      <c r="M416" s="3"/>
      <c r="N416" s="3"/>
      <c r="O416" s="3"/>
    </row>
    <row r="417" ht="15.75" customHeight="1">
      <c r="A417" s="3"/>
      <c r="B417" s="3"/>
      <c r="C417" s="3"/>
      <c r="D417" s="3"/>
      <c r="E417" s="3"/>
      <c r="F417" s="3"/>
      <c r="I417" s="3"/>
      <c r="J417" s="3"/>
      <c r="K417" s="3"/>
      <c r="L417" s="3"/>
      <c r="M417" s="3"/>
      <c r="N417" s="3"/>
      <c r="O417" s="3"/>
    </row>
    <row r="418" ht="15.75" customHeight="1">
      <c r="A418" s="3"/>
      <c r="B418" s="3"/>
      <c r="C418" s="3"/>
      <c r="D418" s="3"/>
      <c r="E418" s="3"/>
      <c r="F418" s="3"/>
      <c r="I418" s="3"/>
      <c r="J418" s="3"/>
      <c r="K418" s="3"/>
      <c r="L418" s="3"/>
      <c r="M418" s="3"/>
      <c r="N418" s="3"/>
      <c r="O418" s="3"/>
    </row>
    <row r="419" ht="15.75" customHeight="1">
      <c r="A419" s="3"/>
      <c r="B419" s="3"/>
      <c r="C419" s="3"/>
      <c r="D419" s="3"/>
      <c r="E419" s="3"/>
      <c r="F419" s="3"/>
      <c r="I419" s="3"/>
      <c r="J419" s="3"/>
      <c r="K419" s="3"/>
      <c r="L419" s="3"/>
      <c r="M419" s="3"/>
      <c r="N419" s="3"/>
      <c r="O419" s="3"/>
    </row>
    <row r="420" ht="15.75" customHeight="1">
      <c r="A420" s="3"/>
      <c r="B420" s="3"/>
      <c r="C420" s="3"/>
      <c r="D420" s="3"/>
      <c r="E420" s="3"/>
      <c r="F420" s="3"/>
      <c r="I420" s="3"/>
      <c r="J420" s="3"/>
      <c r="K420" s="3"/>
      <c r="L420" s="3"/>
      <c r="M420" s="3"/>
      <c r="N420" s="3"/>
      <c r="O420" s="3"/>
    </row>
    <row r="421" ht="15.75" customHeight="1">
      <c r="A421" s="3"/>
      <c r="B421" s="3"/>
      <c r="C421" s="3"/>
      <c r="D421" s="3"/>
      <c r="E421" s="3"/>
      <c r="F421" s="3"/>
      <c r="I421" s="3"/>
      <c r="J421" s="3"/>
      <c r="K421" s="3"/>
      <c r="L421" s="3"/>
      <c r="M421" s="3"/>
      <c r="N421" s="3"/>
      <c r="O421" s="3"/>
    </row>
    <row r="422" ht="15.75" customHeight="1">
      <c r="A422" s="3"/>
      <c r="B422" s="3"/>
      <c r="C422" s="3"/>
      <c r="D422" s="3"/>
      <c r="E422" s="3"/>
      <c r="F422" s="3"/>
      <c r="I422" s="3"/>
      <c r="J422" s="3"/>
      <c r="K422" s="3"/>
      <c r="L422" s="3"/>
      <c r="M422" s="3"/>
      <c r="N422" s="3"/>
      <c r="O422" s="3"/>
    </row>
    <row r="423" ht="15.75" customHeight="1">
      <c r="A423" s="3"/>
      <c r="B423" s="3"/>
      <c r="C423" s="3"/>
      <c r="D423" s="3"/>
      <c r="E423" s="3"/>
      <c r="F423" s="3"/>
      <c r="I423" s="3"/>
      <c r="J423" s="3"/>
      <c r="K423" s="3"/>
      <c r="L423" s="3"/>
      <c r="M423" s="3"/>
      <c r="N423" s="3"/>
      <c r="O423" s="3"/>
    </row>
    <row r="424" ht="15.75" customHeight="1">
      <c r="A424" s="3"/>
      <c r="B424" s="3"/>
      <c r="C424" s="3"/>
      <c r="D424" s="3"/>
      <c r="E424" s="3"/>
      <c r="F424" s="3"/>
      <c r="I424" s="3"/>
      <c r="J424" s="3"/>
      <c r="K424" s="3"/>
      <c r="L424" s="3"/>
      <c r="M424" s="3"/>
      <c r="N424" s="3"/>
      <c r="O424" s="3"/>
    </row>
    <row r="425" ht="15.75" customHeight="1">
      <c r="A425" s="3"/>
      <c r="B425" s="3"/>
      <c r="C425" s="3"/>
      <c r="D425" s="3"/>
      <c r="E425" s="3"/>
      <c r="F425" s="3"/>
      <c r="I425" s="3"/>
      <c r="J425" s="3"/>
      <c r="K425" s="3"/>
      <c r="L425" s="3"/>
      <c r="M425" s="3"/>
      <c r="N425" s="3"/>
      <c r="O425" s="3"/>
    </row>
    <row r="426" ht="15.75" customHeight="1">
      <c r="A426" s="3"/>
      <c r="B426" s="3"/>
      <c r="C426" s="3"/>
      <c r="D426" s="3"/>
      <c r="E426" s="3"/>
      <c r="F426" s="3"/>
      <c r="I426" s="3"/>
      <c r="J426" s="3"/>
      <c r="K426" s="3"/>
      <c r="L426" s="3"/>
      <c r="M426" s="3"/>
      <c r="N426" s="3"/>
      <c r="O426" s="3"/>
    </row>
    <row r="427" ht="15.75" customHeight="1">
      <c r="A427" s="3"/>
      <c r="B427" s="3"/>
      <c r="C427" s="3"/>
      <c r="D427" s="3"/>
      <c r="E427" s="3"/>
      <c r="F427" s="3"/>
      <c r="I427" s="3"/>
      <c r="J427" s="3"/>
      <c r="K427" s="3"/>
      <c r="L427" s="3"/>
      <c r="M427" s="3"/>
      <c r="N427" s="3"/>
      <c r="O427" s="3"/>
    </row>
    <row r="428" ht="15.75" customHeight="1">
      <c r="A428" s="3"/>
      <c r="B428" s="3"/>
      <c r="C428" s="3"/>
      <c r="D428" s="3"/>
      <c r="E428" s="3"/>
      <c r="F428" s="3"/>
      <c r="I428" s="3"/>
      <c r="J428" s="3"/>
      <c r="K428" s="3"/>
      <c r="L428" s="3"/>
      <c r="M428" s="3"/>
      <c r="N428" s="3"/>
      <c r="O428" s="3"/>
    </row>
    <row r="429" ht="15.75" customHeight="1">
      <c r="A429" s="3"/>
      <c r="B429" s="3"/>
      <c r="C429" s="3"/>
      <c r="D429" s="3"/>
      <c r="E429" s="3"/>
      <c r="F429" s="3"/>
      <c r="I429" s="3"/>
      <c r="J429" s="3"/>
      <c r="K429" s="3"/>
      <c r="L429" s="3"/>
      <c r="M429" s="3"/>
      <c r="N429" s="3"/>
      <c r="O429" s="3"/>
    </row>
    <row r="430" ht="15.75" customHeight="1">
      <c r="A430" s="3"/>
      <c r="B430" s="3"/>
      <c r="C430" s="3"/>
      <c r="D430" s="3"/>
      <c r="E430" s="3"/>
      <c r="F430" s="3"/>
      <c r="I430" s="3"/>
      <c r="J430" s="3"/>
      <c r="K430" s="3"/>
      <c r="L430" s="3"/>
      <c r="M430" s="3"/>
      <c r="N430" s="3"/>
      <c r="O430" s="3"/>
    </row>
    <row r="431" ht="15.75" customHeight="1">
      <c r="A431" s="3"/>
      <c r="B431" s="3"/>
      <c r="C431" s="3"/>
      <c r="D431" s="3"/>
      <c r="E431" s="3"/>
      <c r="F431" s="3"/>
      <c r="I431" s="3"/>
      <c r="J431" s="3"/>
      <c r="K431" s="3"/>
      <c r="L431" s="3"/>
      <c r="M431" s="3"/>
      <c r="N431" s="3"/>
      <c r="O431" s="3"/>
    </row>
    <row r="432" ht="15.75" customHeight="1">
      <c r="A432" s="3"/>
      <c r="B432" s="3"/>
      <c r="C432" s="3"/>
      <c r="D432" s="3"/>
      <c r="E432" s="3"/>
      <c r="F432" s="3"/>
      <c r="I432" s="3"/>
      <c r="J432" s="3"/>
      <c r="K432" s="3"/>
      <c r="L432" s="3"/>
      <c r="M432" s="3"/>
      <c r="N432" s="3"/>
      <c r="O432" s="3"/>
    </row>
    <row r="433" ht="15.75" customHeight="1">
      <c r="A433" s="3"/>
      <c r="B433" s="3"/>
      <c r="C433" s="3"/>
      <c r="D433" s="3"/>
      <c r="E433" s="3"/>
      <c r="F433" s="3"/>
      <c r="I433" s="3"/>
      <c r="J433" s="3"/>
      <c r="K433" s="3"/>
      <c r="L433" s="3"/>
      <c r="M433" s="3"/>
      <c r="N433" s="3"/>
      <c r="O433" s="3"/>
    </row>
    <row r="434" ht="15.75" customHeight="1">
      <c r="A434" s="3"/>
      <c r="B434" s="3"/>
      <c r="C434" s="3"/>
      <c r="D434" s="3"/>
      <c r="E434" s="3"/>
      <c r="F434" s="3"/>
      <c r="I434" s="3"/>
      <c r="J434" s="3"/>
      <c r="K434" s="3"/>
      <c r="L434" s="3"/>
      <c r="M434" s="3"/>
      <c r="N434" s="3"/>
      <c r="O434" s="3"/>
    </row>
    <row r="435" ht="15.75" customHeight="1">
      <c r="A435" s="3"/>
      <c r="B435" s="3"/>
      <c r="C435" s="3"/>
      <c r="D435" s="3"/>
      <c r="E435" s="3"/>
      <c r="F435" s="3"/>
      <c r="I435" s="3"/>
      <c r="J435" s="3"/>
      <c r="K435" s="3"/>
      <c r="L435" s="3"/>
      <c r="M435" s="3"/>
      <c r="N435" s="3"/>
      <c r="O435" s="3"/>
    </row>
    <row r="436" ht="15.75" customHeight="1">
      <c r="A436" s="3"/>
      <c r="B436" s="3"/>
      <c r="C436" s="3"/>
      <c r="D436" s="3"/>
      <c r="E436" s="3"/>
      <c r="F436" s="3"/>
      <c r="I436" s="3"/>
      <c r="J436" s="3"/>
      <c r="K436" s="3"/>
      <c r="L436" s="3"/>
      <c r="M436" s="3"/>
      <c r="N436" s="3"/>
      <c r="O436" s="3"/>
    </row>
    <row r="437" ht="15.75" customHeight="1">
      <c r="A437" s="3"/>
      <c r="B437" s="3"/>
      <c r="C437" s="3"/>
      <c r="D437" s="3"/>
      <c r="E437" s="3"/>
      <c r="F437" s="3"/>
      <c r="I437" s="3"/>
      <c r="J437" s="3"/>
      <c r="K437" s="3"/>
      <c r="L437" s="3"/>
      <c r="M437" s="3"/>
      <c r="N437" s="3"/>
      <c r="O437" s="3"/>
    </row>
    <row r="438" ht="15.75" customHeight="1">
      <c r="A438" s="3"/>
      <c r="B438" s="3"/>
      <c r="C438" s="3"/>
      <c r="D438" s="3"/>
      <c r="E438" s="3"/>
      <c r="F438" s="3"/>
      <c r="I438" s="3"/>
      <c r="J438" s="3"/>
      <c r="K438" s="3"/>
      <c r="L438" s="3"/>
      <c r="M438" s="3"/>
      <c r="N438" s="3"/>
      <c r="O438" s="3"/>
    </row>
    <row r="439" ht="15.75" customHeight="1">
      <c r="A439" s="3"/>
      <c r="B439" s="3"/>
      <c r="C439" s="3"/>
      <c r="D439" s="3"/>
      <c r="E439" s="3"/>
      <c r="F439" s="3"/>
      <c r="I439" s="3"/>
      <c r="J439" s="3"/>
      <c r="K439" s="3"/>
      <c r="L439" s="3"/>
      <c r="M439" s="3"/>
      <c r="N439" s="3"/>
      <c r="O439" s="3"/>
    </row>
    <row r="440" ht="15.75" customHeight="1">
      <c r="A440" s="3"/>
      <c r="B440" s="3"/>
      <c r="C440" s="3"/>
      <c r="D440" s="3"/>
      <c r="E440" s="3"/>
      <c r="F440" s="3"/>
      <c r="I440" s="3"/>
      <c r="J440" s="3"/>
      <c r="K440" s="3"/>
      <c r="L440" s="3"/>
      <c r="M440" s="3"/>
      <c r="N440" s="3"/>
      <c r="O440" s="3"/>
    </row>
    <row r="441" ht="15.75" customHeight="1">
      <c r="A441" s="3"/>
      <c r="B441" s="3"/>
      <c r="C441" s="3"/>
      <c r="D441" s="3"/>
      <c r="E441" s="3"/>
      <c r="F441" s="3"/>
      <c r="I441" s="3"/>
      <c r="J441" s="3"/>
      <c r="K441" s="3"/>
      <c r="L441" s="3"/>
      <c r="M441" s="3"/>
      <c r="N441" s="3"/>
      <c r="O441" s="3"/>
    </row>
    <row r="442" ht="15.75" customHeight="1">
      <c r="A442" s="3"/>
      <c r="B442" s="3"/>
      <c r="C442" s="3"/>
      <c r="D442" s="3"/>
      <c r="E442" s="3"/>
      <c r="F442" s="3"/>
      <c r="I442" s="3"/>
      <c r="J442" s="3"/>
      <c r="K442" s="3"/>
      <c r="L442" s="3"/>
      <c r="M442" s="3"/>
      <c r="N442" s="3"/>
      <c r="O442" s="3"/>
    </row>
    <row r="443" ht="15.75" customHeight="1">
      <c r="A443" s="3"/>
      <c r="B443" s="3"/>
      <c r="C443" s="3"/>
      <c r="D443" s="3"/>
      <c r="E443" s="3"/>
      <c r="F443" s="3"/>
      <c r="I443" s="3"/>
      <c r="J443" s="3"/>
      <c r="K443" s="3"/>
      <c r="L443" s="3"/>
      <c r="M443" s="3"/>
      <c r="N443" s="3"/>
      <c r="O443" s="3"/>
    </row>
    <row r="444" ht="15.75" customHeight="1">
      <c r="A444" s="3"/>
      <c r="B444" s="3"/>
      <c r="C444" s="3"/>
      <c r="D444" s="3"/>
      <c r="E444" s="3"/>
      <c r="F444" s="3"/>
      <c r="I444" s="3"/>
      <c r="J444" s="3"/>
      <c r="K444" s="3"/>
      <c r="L444" s="3"/>
      <c r="M444" s="3"/>
      <c r="N444" s="3"/>
      <c r="O444" s="3"/>
    </row>
    <row r="445" ht="15.75" customHeight="1">
      <c r="A445" s="3"/>
      <c r="B445" s="3"/>
      <c r="C445" s="3"/>
      <c r="D445" s="3"/>
      <c r="E445" s="3"/>
      <c r="F445" s="3"/>
      <c r="I445" s="3"/>
      <c r="J445" s="3"/>
      <c r="K445" s="3"/>
      <c r="L445" s="3"/>
      <c r="M445" s="3"/>
      <c r="N445" s="3"/>
      <c r="O445" s="3"/>
    </row>
    <row r="446" ht="15.75" customHeight="1">
      <c r="A446" s="3"/>
      <c r="B446" s="3"/>
      <c r="C446" s="3"/>
      <c r="D446" s="3"/>
      <c r="E446" s="3"/>
      <c r="F446" s="3"/>
      <c r="I446" s="3"/>
      <c r="J446" s="3"/>
      <c r="K446" s="3"/>
      <c r="L446" s="3"/>
      <c r="M446" s="3"/>
      <c r="N446" s="3"/>
      <c r="O446" s="3"/>
    </row>
    <row r="447" ht="15.75" customHeight="1">
      <c r="A447" s="3"/>
      <c r="B447" s="3"/>
      <c r="C447" s="3"/>
      <c r="D447" s="3"/>
      <c r="E447" s="3"/>
      <c r="F447" s="3"/>
      <c r="I447" s="3"/>
      <c r="J447" s="3"/>
      <c r="K447" s="3"/>
      <c r="L447" s="3"/>
      <c r="M447" s="3"/>
      <c r="N447" s="3"/>
      <c r="O447" s="3"/>
    </row>
    <row r="448" ht="15.75" customHeight="1">
      <c r="A448" s="3"/>
      <c r="B448" s="3"/>
      <c r="C448" s="3"/>
      <c r="D448" s="3"/>
      <c r="E448" s="3"/>
      <c r="F448" s="3"/>
      <c r="I448" s="3"/>
      <c r="J448" s="3"/>
      <c r="K448" s="3"/>
      <c r="L448" s="3"/>
      <c r="M448" s="3"/>
      <c r="N448" s="3"/>
      <c r="O448" s="3"/>
    </row>
    <row r="449" ht="15.75" customHeight="1">
      <c r="A449" s="3"/>
      <c r="B449" s="3"/>
      <c r="C449" s="3"/>
      <c r="D449" s="3"/>
      <c r="E449" s="3"/>
      <c r="F449" s="3"/>
      <c r="I449" s="3"/>
      <c r="J449" s="3"/>
      <c r="K449" s="3"/>
      <c r="L449" s="3"/>
      <c r="M449" s="3"/>
      <c r="N449" s="3"/>
      <c r="O449" s="3"/>
    </row>
    <row r="450" ht="15.75" customHeight="1">
      <c r="A450" s="3"/>
      <c r="B450" s="3"/>
      <c r="C450" s="3"/>
      <c r="D450" s="3"/>
      <c r="E450" s="3"/>
      <c r="F450" s="3"/>
      <c r="I450" s="3"/>
      <c r="J450" s="3"/>
      <c r="K450" s="3"/>
      <c r="L450" s="3"/>
      <c r="M450" s="3"/>
      <c r="N450" s="3"/>
      <c r="O450" s="3"/>
    </row>
    <row r="451" ht="15.75" customHeight="1">
      <c r="A451" s="3"/>
      <c r="B451" s="3"/>
      <c r="C451" s="3"/>
      <c r="D451" s="3"/>
      <c r="E451" s="3"/>
      <c r="F451" s="3"/>
      <c r="I451" s="3"/>
      <c r="J451" s="3"/>
      <c r="K451" s="3"/>
      <c r="L451" s="3"/>
      <c r="M451" s="3"/>
      <c r="N451" s="3"/>
      <c r="O451" s="3"/>
    </row>
    <row r="452" ht="15.75" customHeight="1">
      <c r="A452" s="3"/>
      <c r="B452" s="3"/>
      <c r="C452" s="3"/>
      <c r="D452" s="3"/>
      <c r="E452" s="3"/>
      <c r="F452" s="3"/>
      <c r="I452" s="3"/>
      <c r="J452" s="3"/>
      <c r="K452" s="3"/>
      <c r="L452" s="3"/>
      <c r="M452" s="3"/>
      <c r="N452" s="3"/>
      <c r="O452" s="3"/>
    </row>
    <row r="453" ht="15.75" customHeight="1">
      <c r="A453" s="3"/>
      <c r="B453" s="3"/>
      <c r="C453" s="3"/>
      <c r="D453" s="3"/>
      <c r="E453" s="3"/>
      <c r="F453" s="3"/>
      <c r="I453" s="3"/>
      <c r="J453" s="3"/>
      <c r="K453" s="3"/>
      <c r="L453" s="3"/>
      <c r="M453" s="3"/>
      <c r="N453" s="3"/>
      <c r="O453" s="3"/>
    </row>
    <row r="454" ht="15.75" customHeight="1">
      <c r="A454" s="3"/>
      <c r="B454" s="3"/>
      <c r="C454" s="3"/>
      <c r="D454" s="3"/>
      <c r="E454" s="3"/>
      <c r="F454" s="3"/>
      <c r="I454" s="3"/>
      <c r="J454" s="3"/>
      <c r="K454" s="3"/>
      <c r="L454" s="3"/>
      <c r="M454" s="3"/>
      <c r="N454" s="3"/>
      <c r="O454" s="3"/>
    </row>
    <row r="455" ht="15.75" customHeight="1">
      <c r="A455" s="3"/>
      <c r="B455" s="3"/>
      <c r="C455" s="3"/>
      <c r="D455" s="3"/>
      <c r="E455" s="3"/>
      <c r="F455" s="3"/>
      <c r="I455" s="3"/>
      <c r="J455" s="3"/>
      <c r="K455" s="3"/>
      <c r="L455" s="3"/>
      <c r="M455" s="3"/>
      <c r="N455" s="3"/>
      <c r="O455" s="3"/>
    </row>
    <row r="456" ht="15.75" customHeight="1">
      <c r="A456" s="3"/>
      <c r="B456" s="3"/>
      <c r="C456" s="3"/>
      <c r="D456" s="3"/>
      <c r="E456" s="3"/>
      <c r="F456" s="3"/>
      <c r="I456" s="3"/>
      <c r="J456" s="3"/>
      <c r="K456" s="3"/>
      <c r="L456" s="3"/>
      <c r="M456" s="3"/>
      <c r="N456" s="3"/>
      <c r="O456" s="3"/>
    </row>
    <row r="457" ht="15.75" customHeight="1">
      <c r="A457" s="3"/>
      <c r="B457" s="3"/>
      <c r="C457" s="3"/>
      <c r="D457" s="3"/>
      <c r="E457" s="3"/>
      <c r="F457" s="3"/>
      <c r="I457" s="3"/>
      <c r="J457" s="3"/>
      <c r="K457" s="3"/>
      <c r="L457" s="3"/>
      <c r="M457" s="3"/>
      <c r="N457" s="3"/>
      <c r="O457" s="3"/>
    </row>
    <row r="458" ht="15.75" customHeight="1">
      <c r="A458" s="3"/>
      <c r="B458" s="3"/>
      <c r="C458" s="3"/>
      <c r="D458" s="3"/>
      <c r="E458" s="3"/>
      <c r="F458" s="3"/>
      <c r="I458" s="3"/>
      <c r="J458" s="3"/>
      <c r="K458" s="3"/>
      <c r="L458" s="3"/>
      <c r="M458" s="3"/>
      <c r="N458" s="3"/>
      <c r="O458" s="3"/>
    </row>
    <row r="459" ht="15.75" customHeight="1">
      <c r="A459" s="3"/>
      <c r="B459" s="3"/>
      <c r="C459" s="3"/>
      <c r="D459" s="3"/>
      <c r="E459" s="3"/>
      <c r="F459" s="3"/>
      <c r="I459" s="3"/>
      <c r="J459" s="3"/>
      <c r="K459" s="3"/>
      <c r="L459" s="3"/>
      <c r="M459" s="3"/>
      <c r="N459" s="3"/>
      <c r="O459" s="3"/>
    </row>
    <row r="460" ht="15.75" customHeight="1">
      <c r="A460" s="3"/>
      <c r="B460" s="3"/>
      <c r="C460" s="3"/>
      <c r="D460" s="3"/>
      <c r="E460" s="3"/>
      <c r="F460" s="3"/>
      <c r="I460" s="3"/>
      <c r="J460" s="3"/>
      <c r="K460" s="3"/>
      <c r="L460" s="3"/>
      <c r="M460" s="3"/>
      <c r="N460" s="3"/>
      <c r="O460" s="3"/>
    </row>
    <row r="461" ht="15.75" customHeight="1">
      <c r="A461" s="3"/>
      <c r="B461" s="3"/>
      <c r="C461" s="3"/>
      <c r="D461" s="3"/>
      <c r="E461" s="3"/>
      <c r="F461" s="3"/>
      <c r="I461" s="3"/>
      <c r="J461" s="3"/>
      <c r="K461" s="3"/>
      <c r="L461" s="3"/>
      <c r="M461" s="3"/>
      <c r="N461" s="3"/>
      <c r="O461" s="3"/>
    </row>
    <row r="462" ht="15.75" customHeight="1">
      <c r="A462" s="3"/>
      <c r="B462" s="3"/>
      <c r="C462" s="3"/>
      <c r="D462" s="3"/>
      <c r="E462" s="3"/>
      <c r="F462" s="3"/>
      <c r="I462" s="3"/>
      <c r="J462" s="3"/>
      <c r="K462" s="3"/>
      <c r="L462" s="3"/>
      <c r="M462" s="3"/>
      <c r="N462" s="3"/>
      <c r="O462" s="3"/>
    </row>
    <row r="463" ht="15.75" customHeight="1">
      <c r="A463" s="3"/>
      <c r="B463" s="3"/>
      <c r="C463" s="3"/>
      <c r="D463" s="3"/>
      <c r="E463" s="3"/>
      <c r="F463" s="3"/>
      <c r="I463" s="3"/>
      <c r="J463" s="3"/>
      <c r="K463" s="3"/>
      <c r="L463" s="3"/>
      <c r="M463" s="3"/>
      <c r="N463" s="3"/>
      <c r="O463" s="3"/>
    </row>
    <row r="464" ht="15.75" customHeight="1">
      <c r="A464" s="3"/>
      <c r="B464" s="3"/>
      <c r="C464" s="3"/>
      <c r="D464" s="3"/>
      <c r="E464" s="3"/>
      <c r="F464" s="3"/>
      <c r="I464" s="3"/>
      <c r="J464" s="3"/>
      <c r="K464" s="3"/>
      <c r="L464" s="3"/>
      <c r="M464" s="3"/>
      <c r="N464" s="3"/>
      <c r="O464" s="3"/>
    </row>
    <row r="465" ht="15.75" customHeight="1">
      <c r="A465" s="3"/>
      <c r="B465" s="3"/>
      <c r="C465" s="3"/>
      <c r="D465" s="3"/>
      <c r="E465" s="3"/>
      <c r="F465" s="3"/>
      <c r="I465" s="3"/>
      <c r="J465" s="3"/>
      <c r="K465" s="3"/>
      <c r="L465" s="3"/>
      <c r="M465" s="3"/>
      <c r="N465" s="3"/>
      <c r="O465" s="3"/>
    </row>
    <row r="466" ht="15.75" customHeight="1">
      <c r="A466" s="3"/>
      <c r="B466" s="3"/>
      <c r="C466" s="3"/>
      <c r="D466" s="3"/>
      <c r="E466" s="3"/>
      <c r="F466" s="3"/>
      <c r="I466" s="3"/>
      <c r="J466" s="3"/>
      <c r="K466" s="3"/>
      <c r="L466" s="3"/>
      <c r="M466" s="3"/>
      <c r="N466" s="3"/>
      <c r="O466" s="3"/>
    </row>
    <row r="467" ht="15.75" customHeight="1">
      <c r="A467" s="3"/>
      <c r="B467" s="3"/>
      <c r="C467" s="3"/>
      <c r="D467" s="3"/>
      <c r="E467" s="3"/>
      <c r="F467" s="3"/>
      <c r="I467" s="3"/>
      <c r="J467" s="3"/>
      <c r="K467" s="3"/>
      <c r="L467" s="3"/>
      <c r="M467" s="3"/>
      <c r="N467" s="3"/>
      <c r="O467" s="3"/>
    </row>
    <row r="468" ht="15.75" customHeight="1">
      <c r="A468" s="3"/>
      <c r="B468" s="3"/>
      <c r="C468" s="3"/>
      <c r="D468" s="3"/>
      <c r="E468" s="3"/>
      <c r="F468" s="3"/>
      <c r="I468" s="3"/>
      <c r="J468" s="3"/>
      <c r="K468" s="3"/>
      <c r="L468" s="3"/>
      <c r="M468" s="3"/>
      <c r="N468" s="3"/>
      <c r="O468" s="3"/>
    </row>
    <row r="469" ht="15.75" customHeight="1">
      <c r="A469" s="3"/>
      <c r="B469" s="3"/>
      <c r="C469" s="3"/>
      <c r="D469" s="3"/>
      <c r="E469" s="3"/>
      <c r="F469" s="3"/>
      <c r="I469" s="3"/>
      <c r="J469" s="3"/>
      <c r="K469" s="3"/>
      <c r="L469" s="3"/>
      <c r="M469" s="3"/>
      <c r="N469" s="3"/>
      <c r="O469" s="3"/>
    </row>
    <row r="470" ht="15.75" customHeight="1">
      <c r="A470" s="3"/>
      <c r="B470" s="3"/>
      <c r="C470" s="3"/>
      <c r="D470" s="3"/>
      <c r="E470" s="3"/>
      <c r="F470" s="3"/>
      <c r="I470" s="3"/>
      <c r="J470" s="3"/>
      <c r="K470" s="3"/>
      <c r="L470" s="3"/>
      <c r="M470" s="3"/>
      <c r="N470" s="3"/>
      <c r="O470" s="3"/>
    </row>
    <row r="471" ht="15.75" customHeight="1">
      <c r="A471" s="3"/>
      <c r="B471" s="3"/>
      <c r="C471" s="3"/>
      <c r="D471" s="3"/>
      <c r="E471" s="3"/>
      <c r="F471" s="3"/>
      <c r="I471" s="3"/>
      <c r="J471" s="3"/>
      <c r="K471" s="3"/>
      <c r="L471" s="3"/>
      <c r="M471" s="3"/>
      <c r="N471" s="3"/>
      <c r="O471" s="3"/>
    </row>
    <row r="472" ht="15.75" customHeight="1">
      <c r="A472" s="3"/>
      <c r="B472" s="3"/>
      <c r="C472" s="3"/>
      <c r="D472" s="3"/>
      <c r="E472" s="3"/>
      <c r="F472" s="3"/>
      <c r="I472" s="3"/>
      <c r="J472" s="3"/>
      <c r="K472" s="3"/>
      <c r="L472" s="3"/>
      <c r="M472" s="3"/>
      <c r="N472" s="3"/>
      <c r="O472" s="3"/>
    </row>
    <row r="473" ht="15.75" customHeight="1">
      <c r="A473" s="3"/>
      <c r="B473" s="3"/>
      <c r="C473" s="3"/>
      <c r="D473" s="3"/>
      <c r="E473" s="3"/>
      <c r="F473" s="3"/>
      <c r="I473" s="3"/>
      <c r="J473" s="3"/>
      <c r="K473" s="3"/>
      <c r="L473" s="3"/>
      <c r="M473" s="3"/>
      <c r="N473" s="3"/>
      <c r="O473" s="3"/>
    </row>
    <row r="474" ht="15.75" customHeight="1">
      <c r="A474" s="3"/>
      <c r="B474" s="3"/>
      <c r="C474" s="3"/>
      <c r="D474" s="3"/>
      <c r="E474" s="3"/>
      <c r="F474" s="3"/>
      <c r="I474" s="3"/>
      <c r="J474" s="3"/>
      <c r="K474" s="3"/>
      <c r="L474" s="3"/>
      <c r="M474" s="3"/>
      <c r="N474" s="3"/>
      <c r="O474" s="3"/>
    </row>
    <row r="475" ht="15.75" customHeight="1">
      <c r="A475" s="3"/>
      <c r="B475" s="3"/>
      <c r="C475" s="3"/>
      <c r="D475" s="3"/>
      <c r="E475" s="3"/>
      <c r="F475" s="3"/>
      <c r="I475" s="3"/>
      <c r="J475" s="3"/>
      <c r="K475" s="3"/>
      <c r="L475" s="3"/>
      <c r="M475" s="3"/>
      <c r="N475" s="3"/>
      <c r="O475" s="3"/>
    </row>
    <row r="476" ht="15.75" customHeight="1">
      <c r="A476" s="3"/>
      <c r="B476" s="3"/>
      <c r="C476" s="3"/>
      <c r="D476" s="3"/>
      <c r="E476" s="3"/>
      <c r="F476" s="3"/>
      <c r="I476" s="3"/>
      <c r="J476" s="3"/>
      <c r="K476" s="3"/>
      <c r="L476" s="3"/>
      <c r="M476" s="3"/>
      <c r="N476" s="3"/>
      <c r="O476" s="3"/>
    </row>
    <row r="477" ht="15.75" customHeight="1">
      <c r="A477" s="3"/>
      <c r="B477" s="3"/>
      <c r="C477" s="3"/>
      <c r="D477" s="3"/>
      <c r="E477" s="3"/>
      <c r="F477" s="3"/>
      <c r="I477" s="3"/>
      <c r="J477" s="3"/>
      <c r="K477" s="3"/>
      <c r="L477" s="3"/>
      <c r="M477" s="3"/>
      <c r="N477" s="3"/>
      <c r="O477" s="3"/>
    </row>
    <row r="478" ht="15.75" customHeight="1">
      <c r="A478" s="3"/>
      <c r="B478" s="3"/>
      <c r="C478" s="3"/>
      <c r="D478" s="3"/>
      <c r="E478" s="3"/>
      <c r="F478" s="3"/>
      <c r="I478" s="3"/>
      <c r="J478" s="3"/>
      <c r="K478" s="3"/>
      <c r="L478" s="3"/>
      <c r="M478" s="3"/>
      <c r="N478" s="3"/>
      <c r="O478" s="3"/>
    </row>
    <row r="479" ht="15.75" customHeight="1">
      <c r="A479" s="3"/>
      <c r="B479" s="3"/>
      <c r="C479" s="3"/>
      <c r="D479" s="3"/>
      <c r="E479" s="3"/>
      <c r="F479" s="3"/>
      <c r="I479" s="3"/>
      <c r="J479" s="3"/>
      <c r="K479" s="3"/>
      <c r="L479" s="3"/>
      <c r="M479" s="3"/>
      <c r="N479" s="3"/>
      <c r="O479" s="3"/>
    </row>
    <row r="480" ht="15.75" customHeight="1">
      <c r="A480" s="3"/>
      <c r="B480" s="3"/>
      <c r="C480" s="3"/>
      <c r="D480" s="3"/>
      <c r="E480" s="3"/>
      <c r="F480" s="3"/>
      <c r="I480" s="3"/>
      <c r="J480" s="3"/>
      <c r="K480" s="3"/>
      <c r="L480" s="3"/>
      <c r="M480" s="3"/>
      <c r="N480" s="3"/>
      <c r="O480" s="3"/>
    </row>
    <row r="481" ht="15.75" customHeight="1">
      <c r="A481" s="3"/>
      <c r="B481" s="3"/>
      <c r="C481" s="3"/>
      <c r="D481" s="3"/>
      <c r="E481" s="3"/>
      <c r="F481" s="3"/>
      <c r="I481" s="3"/>
      <c r="J481" s="3"/>
      <c r="K481" s="3"/>
      <c r="L481" s="3"/>
      <c r="M481" s="3"/>
      <c r="N481" s="3"/>
      <c r="O481" s="3"/>
    </row>
    <row r="482" ht="15.75" customHeight="1">
      <c r="A482" s="3"/>
      <c r="B482" s="3"/>
      <c r="C482" s="3"/>
      <c r="D482" s="3"/>
      <c r="E482" s="3"/>
      <c r="F482" s="3"/>
      <c r="I482" s="3"/>
      <c r="J482" s="3"/>
      <c r="K482" s="3"/>
      <c r="L482" s="3"/>
      <c r="M482" s="3"/>
      <c r="N482" s="3"/>
      <c r="O482" s="3"/>
    </row>
    <row r="483" ht="15.75" customHeight="1">
      <c r="A483" s="3"/>
      <c r="B483" s="3"/>
      <c r="C483" s="3"/>
      <c r="D483" s="3"/>
      <c r="E483" s="3"/>
      <c r="F483" s="3"/>
      <c r="I483" s="3"/>
      <c r="J483" s="3"/>
      <c r="K483" s="3"/>
      <c r="L483" s="3"/>
      <c r="M483" s="3"/>
      <c r="N483" s="3"/>
      <c r="O483" s="3"/>
    </row>
    <row r="484" ht="15.75" customHeight="1">
      <c r="A484" s="3"/>
      <c r="B484" s="3"/>
      <c r="C484" s="3"/>
      <c r="D484" s="3"/>
      <c r="E484" s="3"/>
      <c r="F484" s="3"/>
      <c r="I484" s="3"/>
      <c r="J484" s="3"/>
      <c r="K484" s="3"/>
      <c r="L484" s="3"/>
      <c r="M484" s="3"/>
      <c r="N484" s="3"/>
      <c r="O484" s="3"/>
    </row>
    <row r="485" ht="15.75" customHeight="1">
      <c r="A485" s="3"/>
      <c r="B485" s="3"/>
      <c r="C485" s="3"/>
      <c r="D485" s="3"/>
      <c r="E485" s="3"/>
      <c r="F485" s="3"/>
      <c r="I485" s="3"/>
      <c r="J485" s="3"/>
      <c r="K485" s="3"/>
      <c r="L485" s="3"/>
      <c r="M485" s="3"/>
      <c r="N485" s="3"/>
      <c r="O485" s="3"/>
    </row>
    <row r="486" ht="15.75" customHeight="1">
      <c r="A486" s="3"/>
      <c r="B486" s="3"/>
      <c r="C486" s="3"/>
      <c r="D486" s="3"/>
      <c r="E486" s="3"/>
      <c r="F486" s="3"/>
      <c r="I486" s="3"/>
      <c r="J486" s="3"/>
      <c r="K486" s="3"/>
      <c r="L486" s="3"/>
      <c r="M486" s="3"/>
      <c r="N486" s="3"/>
      <c r="O486" s="3"/>
    </row>
    <row r="487" ht="15.75" customHeight="1">
      <c r="A487" s="3"/>
      <c r="B487" s="3"/>
      <c r="C487" s="3"/>
      <c r="D487" s="3"/>
      <c r="E487" s="3"/>
      <c r="F487" s="3"/>
      <c r="I487" s="3"/>
      <c r="J487" s="3"/>
      <c r="K487" s="3"/>
      <c r="L487" s="3"/>
      <c r="M487" s="3"/>
      <c r="N487" s="3"/>
      <c r="O487" s="3"/>
    </row>
    <row r="488" ht="15.75" customHeight="1">
      <c r="A488" s="3"/>
      <c r="B488" s="3"/>
      <c r="C488" s="3"/>
      <c r="D488" s="3"/>
      <c r="E488" s="3"/>
      <c r="F488" s="3"/>
      <c r="I488" s="3"/>
      <c r="J488" s="3"/>
      <c r="K488" s="3"/>
      <c r="L488" s="3"/>
      <c r="M488" s="3"/>
      <c r="N488" s="3"/>
      <c r="O488" s="3"/>
    </row>
    <row r="489" ht="15.75" customHeight="1">
      <c r="A489" s="3"/>
      <c r="B489" s="3"/>
      <c r="C489" s="3"/>
      <c r="D489" s="3"/>
      <c r="E489" s="3"/>
      <c r="F489" s="3"/>
      <c r="I489" s="3"/>
      <c r="J489" s="3"/>
      <c r="K489" s="3"/>
      <c r="L489" s="3"/>
      <c r="M489" s="3"/>
      <c r="N489" s="3"/>
      <c r="O489" s="3"/>
    </row>
    <row r="490" ht="15.75" customHeight="1">
      <c r="A490" s="3"/>
      <c r="B490" s="3"/>
      <c r="C490" s="3"/>
      <c r="D490" s="3"/>
      <c r="E490" s="3"/>
      <c r="F490" s="3"/>
      <c r="I490" s="3"/>
      <c r="J490" s="3"/>
      <c r="K490" s="3"/>
      <c r="L490" s="3"/>
      <c r="M490" s="3"/>
      <c r="N490" s="3"/>
      <c r="O490" s="3"/>
    </row>
    <row r="491" ht="15.75" customHeight="1">
      <c r="A491" s="3"/>
      <c r="B491" s="3"/>
      <c r="C491" s="3"/>
      <c r="D491" s="3"/>
      <c r="E491" s="3"/>
      <c r="F491" s="3"/>
      <c r="I491" s="3"/>
      <c r="J491" s="3"/>
      <c r="K491" s="3"/>
      <c r="L491" s="3"/>
      <c r="M491" s="3"/>
      <c r="N491" s="3"/>
      <c r="O491" s="3"/>
    </row>
    <row r="492" ht="15.75" customHeight="1">
      <c r="A492" s="3"/>
      <c r="B492" s="3"/>
      <c r="C492" s="3"/>
      <c r="D492" s="3"/>
      <c r="E492" s="3"/>
      <c r="F492" s="3"/>
      <c r="I492" s="3"/>
      <c r="J492" s="3"/>
      <c r="K492" s="3"/>
      <c r="L492" s="3"/>
      <c r="M492" s="3"/>
      <c r="N492" s="3"/>
      <c r="O492" s="3"/>
    </row>
    <row r="493" ht="15.75" customHeight="1">
      <c r="A493" s="3"/>
      <c r="B493" s="3"/>
      <c r="C493" s="3"/>
      <c r="D493" s="3"/>
      <c r="E493" s="3"/>
      <c r="F493" s="3"/>
      <c r="I493" s="3"/>
      <c r="J493" s="3"/>
      <c r="K493" s="3"/>
      <c r="L493" s="3"/>
      <c r="M493" s="3"/>
      <c r="N493" s="3"/>
      <c r="O493" s="3"/>
    </row>
    <row r="494" ht="15.75" customHeight="1">
      <c r="A494" s="3"/>
      <c r="B494" s="3"/>
      <c r="C494" s="3"/>
      <c r="D494" s="3"/>
      <c r="E494" s="3"/>
      <c r="F494" s="3"/>
      <c r="I494" s="3"/>
      <c r="J494" s="3"/>
      <c r="K494" s="3"/>
      <c r="L494" s="3"/>
      <c r="M494" s="3"/>
      <c r="N494" s="3"/>
      <c r="O494" s="3"/>
    </row>
    <row r="495" ht="15.75" customHeight="1">
      <c r="A495" s="3"/>
      <c r="B495" s="3"/>
      <c r="C495" s="3"/>
      <c r="D495" s="3"/>
      <c r="E495" s="3"/>
      <c r="F495" s="3"/>
      <c r="I495" s="3"/>
      <c r="J495" s="3"/>
      <c r="K495" s="3"/>
      <c r="L495" s="3"/>
      <c r="M495" s="3"/>
      <c r="N495" s="3"/>
      <c r="O495" s="3"/>
    </row>
    <row r="496" ht="15.75" customHeight="1">
      <c r="A496" s="3"/>
      <c r="B496" s="3"/>
      <c r="C496" s="3"/>
      <c r="D496" s="3"/>
      <c r="E496" s="3"/>
      <c r="F496" s="3"/>
      <c r="I496" s="3"/>
      <c r="J496" s="3"/>
      <c r="K496" s="3"/>
      <c r="L496" s="3"/>
      <c r="M496" s="3"/>
      <c r="N496" s="3"/>
      <c r="O496" s="3"/>
    </row>
    <row r="497" ht="15.75" customHeight="1">
      <c r="A497" s="3"/>
      <c r="B497" s="3"/>
      <c r="C497" s="3"/>
      <c r="D497" s="3"/>
      <c r="E497" s="3"/>
      <c r="F497" s="3"/>
      <c r="I497" s="3"/>
      <c r="J497" s="3"/>
      <c r="K497" s="3"/>
      <c r="L497" s="3"/>
      <c r="M497" s="3"/>
      <c r="N497" s="3"/>
      <c r="O497" s="3"/>
    </row>
    <row r="498" ht="15.75" customHeight="1">
      <c r="A498" s="3"/>
      <c r="B498" s="3"/>
      <c r="C498" s="3"/>
      <c r="D498" s="3"/>
      <c r="E498" s="3"/>
      <c r="F498" s="3"/>
      <c r="I498" s="3"/>
      <c r="J498" s="3"/>
      <c r="K498" s="3"/>
      <c r="L498" s="3"/>
      <c r="M498" s="3"/>
      <c r="N498" s="3"/>
      <c r="O498" s="3"/>
    </row>
    <row r="499" ht="15.75" customHeight="1">
      <c r="A499" s="3"/>
      <c r="B499" s="3"/>
      <c r="C499" s="3"/>
      <c r="D499" s="3"/>
      <c r="E499" s="3"/>
      <c r="F499" s="3"/>
      <c r="I499" s="3"/>
      <c r="J499" s="3"/>
      <c r="K499" s="3"/>
      <c r="L499" s="3"/>
      <c r="M499" s="3"/>
      <c r="N499" s="3"/>
      <c r="O499" s="3"/>
    </row>
    <row r="500" ht="15.75" customHeight="1">
      <c r="A500" s="3"/>
      <c r="B500" s="3"/>
      <c r="C500" s="3"/>
      <c r="D500" s="3"/>
      <c r="E500" s="3"/>
      <c r="F500" s="3"/>
      <c r="I500" s="3"/>
      <c r="J500" s="3"/>
      <c r="K500" s="3"/>
      <c r="L500" s="3"/>
      <c r="M500" s="3"/>
      <c r="N500" s="3"/>
      <c r="O500" s="3"/>
    </row>
    <row r="501" ht="15.75" customHeight="1">
      <c r="A501" s="3"/>
      <c r="B501" s="3"/>
      <c r="C501" s="3"/>
      <c r="D501" s="3"/>
      <c r="E501" s="3"/>
      <c r="F501" s="3"/>
      <c r="I501" s="3"/>
      <c r="J501" s="3"/>
      <c r="K501" s="3"/>
      <c r="L501" s="3"/>
      <c r="M501" s="3"/>
      <c r="N501" s="3"/>
      <c r="O501" s="3"/>
    </row>
    <row r="502" ht="15.75" customHeight="1">
      <c r="A502" s="3"/>
      <c r="B502" s="3"/>
      <c r="C502" s="3"/>
      <c r="D502" s="3"/>
      <c r="E502" s="3"/>
      <c r="F502" s="3"/>
      <c r="I502" s="3"/>
      <c r="J502" s="3"/>
      <c r="K502" s="3"/>
      <c r="L502" s="3"/>
      <c r="M502" s="3"/>
      <c r="N502" s="3"/>
      <c r="O502" s="3"/>
    </row>
    <row r="503" ht="15.75" customHeight="1">
      <c r="A503" s="3"/>
      <c r="B503" s="3"/>
      <c r="C503" s="3"/>
      <c r="D503" s="3"/>
      <c r="E503" s="3"/>
      <c r="F503" s="3"/>
      <c r="I503" s="3"/>
      <c r="J503" s="3"/>
      <c r="K503" s="3"/>
      <c r="L503" s="3"/>
      <c r="M503" s="3"/>
      <c r="N503" s="3"/>
      <c r="O503" s="3"/>
    </row>
    <row r="504" ht="15.75" customHeight="1">
      <c r="A504" s="3"/>
      <c r="B504" s="3"/>
      <c r="C504" s="3"/>
      <c r="D504" s="3"/>
      <c r="E504" s="3"/>
      <c r="F504" s="3"/>
      <c r="I504" s="3"/>
      <c r="J504" s="3"/>
      <c r="K504" s="3"/>
      <c r="L504" s="3"/>
      <c r="M504" s="3"/>
      <c r="N504" s="3"/>
      <c r="O504" s="3"/>
    </row>
    <row r="505" ht="15.75" customHeight="1">
      <c r="A505" s="3"/>
      <c r="B505" s="3"/>
      <c r="C505" s="3"/>
      <c r="D505" s="3"/>
      <c r="E505" s="3"/>
      <c r="F505" s="3"/>
      <c r="I505" s="3"/>
      <c r="J505" s="3"/>
      <c r="K505" s="3"/>
      <c r="L505" s="3"/>
      <c r="M505" s="3"/>
      <c r="N505" s="3"/>
      <c r="O505" s="3"/>
    </row>
    <row r="506" ht="15.75" customHeight="1">
      <c r="A506" s="3"/>
      <c r="B506" s="3"/>
      <c r="C506" s="3"/>
      <c r="D506" s="3"/>
      <c r="E506" s="3"/>
      <c r="F506" s="3"/>
      <c r="I506" s="3"/>
      <c r="J506" s="3"/>
      <c r="K506" s="3"/>
      <c r="L506" s="3"/>
      <c r="M506" s="3"/>
      <c r="N506" s="3"/>
      <c r="O506" s="3"/>
    </row>
    <row r="507" ht="15.75" customHeight="1">
      <c r="A507" s="3"/>
      <c r="B507" s="3"/>
      <c r="C507" s="3"/>
      <c r="D507" s="3"/>
      <c r="E507" s="3"/>
      <c r="F507" s="3"/>
      <c r="I507" s="3"/>
      <c r="J507" s="3"/>
      <c r="K507" s="3"/>
      <c r="L507" s="3"/>
      <c r="M507" s="3"/>
      <c r="N507" s="3"/>
      <c r="O507" s="3"/>
    </row>
    <row r="508" ht="15.75" customHeight="1">
      <c r="A508" s="3"/>
      <c r="B508" s="3"/>
      <c r="C508" s="3"/>
      <c r="D508" s="3"/>
      <c r="E508" s="3"/>
      <c r="F508" s="3"/>
      <c r="I508" s="3"/>
      <c r="J508" s="3"/>
      <c r="K508" s="3"/>
      <c r="L508" s="3"/>
      <c r="M508" s="3"/>
      <c r="N508" s="3"/>
      <c r="O508" s="3"/>
    </row>
    <row r="509" ht="15.75" customHeight="1">
      <c r="A509" s="3"/>
      <c r="B509" s="3"/>
      <c r="C509" s="3"/>
      <c r="D509" s="3"/>
      <c r="E509" s="3"/>
      <c r="F509" s="3"/>
      <c r="I509" s="3"/>
      <c r="J509" s="3"/>
      <c r="K509" s="3"/>
      <c r="L509" s="3"/>
      <c r="M509" s="3"/>
      <c r="N509" s="3"/>
      <c r="O509" s="3"/>
    </row>
    <row r="510" ht="15.75" customHeight="1">
      <c r="A510" s="3"/>
      <c r="B510" s="3"/>
      <c r="C510" s="3"/>
      <c r="D510" s="3"/>
      <c r="E510" s="3"/>
      <c r="F510" s="3"/>
      <c r="I510" s="3"/>
      <c r="J510" s="3"/>
      <c r="K510" s="3"/>
      <c r="L510" s="3"/>
      <c r="M510" s="3"/>
      <c r="N510" s="3"/>
      <c r="O510" s="3"/>
    </row>
    <row r="511" ht="15.75" customHeight="1">
      <c r="A511" s="3"/>
      <c r="B511" s="3"/>
      <c r="C511" s="3"/>
      <c r="D511" s="3"/>
      <c r="E511" s="3"/>
      <c r="F511" s="3"/>
      <c r="I511" s="3"/>
      <c r="J511" s="3"/>
      <c r="K511" s="3"/>
      <c r="L511" s="3"/>
      <c r="M511" s="3"/>
      <c r="N511" s="3"/>
      <c r="O511" s="3"/>
    </row>
    <row r="512" ht="15.75" customHeight="1">
      <c r="A512" s="3"/>
      <c r="B512" s="3"/>
      <c r="C512" s="3"/>
      <c r="D512" s="3"/>
      <c r="E512" s="3"/>
      <c r="F512" s="3"/>
      <c r="I512" s="3"/>
      <c r="J512" s="3"/>
      <c r="K512" s="3"/>
      <c r="L512" s="3"/>
      <c r="M512" s="3"/>
      <c r="N512" s="3"/>
      <c r="O512" s="3"/>
    </row>
    <row r="513" ht="15.75" customHeight="1">
      <c r="A513" s="3"/>
      <c r="B513" s="3"/>
      <c r="C513" s="3"/>
      <c r="D513" s="3"/>
      <c r="E513" s="3"/>
      <c r="F513" s="3"/>
      <c r="I513" s="3"/>
      <c r="J513" s="3"/>
      <c r="K513" s="3"/>
      <c r="L513" s="3"/>
      <c r="M513" s="3"/>
      <c r="N513" s="3"/>
      <c r="O513" s="3"/>
    </row>
    <row r="514" ht="15.75" customHeight="1">
      <c r="A514" s="3"/>
      <c r="B514" s="3"/>
      <c r="C514" s="3"/>
      <c r="D514" s="3"/>
      <c r="E514" s="3"/>
      <c r="F514" s="3"/>
      <c r="I514" s="3"/>
      <c r="J514" s="3"/>
      <c r="K514" s="3"/>
      <c r="L514" s="3"/>
      <c r="M514" s="3"/>
      <c r="N514" s="3"/>
      <c r="O514" s="3"/>
    </row>
    <row r="515" ht="15.75" customHeight="1">
      <c r="A515" s="3"/>
      <c r="B515" s="3"/>
      <c r="C515" s="3"/>
      <c r="D515" s="3"/>
      <c r="E515" s="3"/>
      <c r="F515" s="3"/>
      <c r="I515" s="3"/>
      <c r="J515" s="3"/>
      <c r="K515" s="3"/>
      <c r="L515" s="3"/>
      <c r="M515" s="3"/>
      <c r="N515" s="3"/>
      <c r="O515" s="3"/>
    </row>
    <row r="516" ht="15.75" customHeight="1">
      <c r="A516" s="3"/>
      <c r="B516" s="3"/>
      <c r="C516" s="3"/>
      <c r="D516" s="3"/>
      <c r="E516" s="3"/>
      <c r="F516" s="3"/>
      <c r="I516" s="3"/>
      <c r="J516" s="3"/>
      <c r="K516" s="3"/>
      <c r="L516" s="3"/>
      <c r="M516" s="3"/>
      <c r="N516" s="3"/>
      <c r="O516" s="3"/>
    </row>
    <row r="517" ht="15.75" customHeight="1">
      <c r="A517" s="3"/>
      <c r="B517" s="3"/>
      <c r="C517" s="3"/>
      <c r="D517" s="3"/>
      <c r="E517" s="3"/>
      <c r="F517" s="3"/>
      <c r="I517" s="3"/>
      <c r="J517" s="3"/>
      <c r="K517" s="3"/>
      <c r="L517" s="3"/>
      <c r="M517" s="3"/>
      <c r="N517" s="3"/>
      <c r="O517" s="3"/>
    </row>
    <row r="518" ht="15.75" customHeight="1">
      <c r="A518" s="3"/>
      <c r="B518" s="3"/>
      <c r="C518" s="3"/>
      <c r="D518" s="3"/>
      <c r="E518" s="3"/>
      <c r="F518" s="3"/>
      <c r="I518" s="3"/>
      <c r="J518" s="3"/>
      <c r="K518" s="3"/>
      <c r="L518" s="3"/>
      <c r="M518" s="3"/>
      <c r="N518" s="3"/>
      <c r="O518" s="3"/>
    </row>
    <row r="519" ht="15.75" customHeight="1">
      <c r="A519" s="3"/>
      <c r="B519" s="3"/>
      <c r="C519" s="3"/>
      <c r="D519" s="3"/>
      <c r="E519" s="3"/>
      <c r="F519" s="3"/>
      <c r="I519" s="3"/>
      <c r="J519" s="3"/>
      <c r="K519" s="3"/>
      <c r="L519" s="3"/>
      <c r="M519" s="3"/>
      <c r="N519" s="3"/>
      <c r="O519" s="3"/>
    </row>
    <row r="520" ht="15.75" customHeight="1">
      <c r="A520" s="3"/>
      <c r="B520" s="3"/>
      <c r="C520" s="3"/>
      <c r="D520" s="3"/>
      <c r="E520" s="3"/>
      <c r="F520" s="3"/>
      <c r="I520" s="3"/>
      <c r="J520" s="3"/>
      <c r="K520" s="3"/>
      <c r="L520" s="3"/>
      <c r="M520" s="3"/>
      <c r="N520" s="3"/>
      <c r="O520" s="3"/>
    </row>
    <row r="521" ht="15.75" customHeight="1">
      <c r="A521" s="3"/>
      <c r="B521" s="3"/>
      <c r="C521" s="3"/>
      <c r="D521" s="3"/>
      <c r="E521" s="3"/>
      <c r="F521" s="3"/>
      <c r="I521" s="3"/>
      <c r="J521" s="3"/>
      <c r="K521" s="3"/>
      <c r="L521" s="3"/>
      <c r="M521" s="3"/>
      <c r="N521" s="3"/>
      <c r="O521" s="3"/>
    </row>
    <row r="522" ht="15.75" customHeight="1">
      <c r="A522" s="3"/>
      <c r="B522" s="3"/>
      <c r="C522" s="3"/>
      <c r="D522" s="3"/>
      <c r="E522" s="3"/>
      <c r="F522" s="3"/>
      <c r="I522" s="3"/>
      <c r="J522" s="3"/>
      <c r="K522" s="3"/>
      <c r="L522" s="3"/>
      <c r="M522" s="3"/>
      <c r="N522" s="3"/>
      <c r="O522" s="3"/>
    </row>
    <row r="523" ht="15.75" customHeight="1">
      <c r="A523" s="3"/>
      <c r="B523" s="3"/>
      <c r="C523" s="3"/>
      <c r="D523" s="3"/>
      <c r="E523" s="3"/>
      <c r="F523" s="3"/>
      <c r="I523" s="3"/>
      <c r="J523" s="3"/>
      <c r="K523" s="3"/>
      <c r="L523" s="3"/>
      <c r="M523" s="3"/>
      <c r="N523" s="3"/>
      <c r="O523" s="3"/>
    </row>
    <row r="524" ht="15.75" customHeight="1">
      <c r="A524" s="3"/>
      <c r="B524" s="3"/>
      <c r="C524" s="3"/>
      <c r="D524" s="3"/>
      <c r="E524" s="3"/>
      <c r="F524" s="3"/>
      <c r="I524" s="3"/>
      <c r="J524" s="3"/>
      <c r="K524" s="3"/>
      <c r="L524" s="3"/>
      <c r="M524" s="3"/>
      <c r="N524" s="3"/>
      <c r="O524" s="3"/>
    </row>
    <row r="525" ht="15.75" customHeight="1">
      <c r="A525" s="3"/>
      <c r="B525" s="3"/>
      <c r="C525" s="3"/>
      <c r="D525" s="3"/>
      <c r="E525" s="3"/>
      <c r="F525" s="3"/>
      <c r="I525" s="3"/>
      <c r="J525" s="3"/>
      <c r="K525" s="3"/>
      <c r="L525" s="3"/>
      <c r="M525" s="3"/>
      <c r="N525" s="3"/>
      <c r="O525" s="3"/>
    </row>
    <row r="526" ht="15.75" customHeight="1">
      <c r="A526" s="3"/>
      <c r="B526" s="3"/>
      <c r="C526" s="3"/>
      <c r="D526" s="3"/>
      <c r="E526" s="3"/>
      <c r="F526" s="3"/>
      <c r="I526" s="3"/>
      <c r="J526" s="3"/>
      <c r="K526" s="3"/>
      <c r="L526" s="3"/>
      <c r="M526" s="3"/>
      <c r="N526" s="3"/>
      <c r="O526" s="3"/>
    </row>
    <row r="527" ht="15.75" customHeight="1">
      <c r="A527" s="3"/>
      <c r="B527" s="3"/>
      <c r="C527" s="3"/>
      <c r="D527" s="3"/>
      <c r="E527" s="3"/>
      <c r="F527" s="3"/>
      <c r="I527" s="3"/>
      <c r="J527" s="3"/>
      <c r="K527" s="3"/>
      <c r="L527" s="3"/>
      <c r="M527" s="3"/>
      <c r="N527" s="3"/>
      <c r="O527" s="3"/>
    </row>
    <row r="528" ht="15.75" customHeight="1">
      <c r="A528" s="3"/>
      <c r="B528" s="3"/>
      <c r="C528" s="3"/>
      <c r="D528" s="3"/>
      <c r="E528" s="3"/>
      <c r="F528" s="3"/>
      <c r="I528" s="3"/>
      <c r="J528" s="3"/>
      <c r="K528" s="3"/>
      <c r="L528" s="3"/>
      <c r="M528" s="3"/>
      <c r="N528" s="3"/>
      <c r="O528" s="3"/>
    </row>
    <row r="529" ht="15.75" customHeight="1">
      <c r="A529" s="3"/>
      <c r="B529" s="3"/>
      <c r="C529" s="3"/>
      <c r="D529" s="3"/>
      <c r="E529" s="3"/>
      <c r="F529" s="3"/>
      <c r="I529" s="3"/>
      <c r="J529" s="3"/>
      <c r="K529" s="3"/>
      <c r="L529" s="3"/>
      <c r="M529" s="3"/>
      <c r="N529" s="3"/>
      <c r="O529" s="3"/>
    </row>
    <row r="530" ht="15.75" customHeight="1">
      <c r="A530" s="3"/>
      <c r="B530" s="3"/>
      <c r="C530" s="3"/>
      <c r="D530" s="3"/>
      <c r="E530" s="3"/>
      <c r="F530" s="3"/>
      <c r="I530" s="3"/>
      <c r="J530" s="3"/>
      <c r="K530" s="3"/>
      <c r="L530" s="3"/>
      <c r="M530" s="3"/>
      <c r="N530" s="3"/>
      <c r="O530" s="3"/>
    </row>
    <row r="531" ht="15.75" customHeight="1">
      <c r="A531" s="3"/>
      <c r="B531" s="3"/>
      <c r="C531" s="3"/>
      <c r="D531" s="3"/>
      <c r="E531" s="3"/>
      <c r="F531" s="3"/>
      <c r="I531" s="3"/>
      <c r="J531" s="3"/>
      <c r="K531" s="3"/>
      <c r="L531" s="3"/>
      <c r="M531" s="3"/>
      <c r="N531" s="3"/>
      <c r="O531" s="3"/>
    </row>
    <row r="532" ht="15.75" customHeight="1">
      <c r="A532" s="3"/>
      <c r="B532" s="3"/>
      <c r="C532" s="3"/>
      <c r="D532" s="3"/>
      <c r="E532" s="3"/>
      <c r="F532" s="3"/>
      <c r="I532" s="3"/>
      <c r="J532" s="3"/>
      <c r="K532" s="3"/>
      <c r="L532" s="3"/>
      <c r="M532" s="3"/>
      <c r="N532" s="3"/>
      <c r="O532" s="3"/>
    </row>
    <row r="533" ht="15.75" customHeight="1">
      <c r="A533" s="3"/>
      <c r="B533" s="3"/>
      <c r="C533" s="3"/>
      <c r="D533" s="3"/>
      <c r="E533" s="3"/>
      <c r="F533" s="3"/>
      <c r="I533" s="3"/>
      <c r="J533" s="3"/>
      <c r="K533" s="3"/>
      <c r="L533" s="3"/>
      <c r="M533" s="3"/>
      <c r="N533" s="3"/>
      <c r="O533" s="3"/>
    </row>
    <row r="534" ht="15.75" customHeight="1">
      <c r="A534" s="3"/>
      <c r="B534" s="3"/>
      <c r="C534" s="3"/>
      <c r="D534" s="3"/>
      <c r="E534" s="3"/>
      <c r="F534" s="3"/>
      <c r="I534" s="3"/>
      <c r="J534" s="3"/>
      <c r="K534" s="3"/>
      <c r="L534" s="3"/>
      <c r="M534" s="3"/>
      <c r="N534" s="3"/>
      <c r="O534" s="3"/>
    </row>
    <row r="535" ht="15.75" customHeight="1">
      <c r="A535" s="3"/>
      <c r="B535" s="3"/>
      <c r="C535" s="3"/>
      <c r="D535" s="3"/>
      <c r="E535" s="3"/>
      <c r="F535" s="3"/>
      <c r="I535" s="3"/>
      <c r="J535" s="3"/>
      <c r="K535" s="3"/>
      <c r="L535" s="3"/>
      <c r="M535" s="3"/>
      <c r="N535" s="3"/>
      <c r="O535" s="3"/>
    </row>
    <row r="536" ht="15.75" customHeight="1">
      <c r="A536" s="3"/>
      <c r="B536" s="3"/>
      <c r="C536" s="3"/>
      <c r="D536" s="3"/>
      <c r="E536" s="3"/>
      <c r="F536" s="3"/>
      <c r="I536" s="3"/>
      <c r="J536" s="3"/>
      <c r="K536" s="3"/>
      <c r="L536" s="3"/>
      <c r="M536" s="3"/>
      <c r="N536" s="3"/>
      <c r="O536" s="3"/>
    </row>
    <row r="537" ht="15.75" customHeight="1">
      <c r="A537" s="3"/>
      <c r="B537" s="3"/>
      <c r="C537" s="3"/>
      <c r="D537" s="3"/>
      <c r="E537" s="3"/>
      <c r="F537" s="3"/>
      <c r="I537" s="3"/>
      <c r="J537" s="3"/>
      <c r="K537" s="3"/>
      <c r="L537" s="3"/>
      <c r="M537" s="3"/>
      <c r="N537" s="3"/>
      <c r="O537" s="3"/>
    </row>
    <row r="538" ht="15.75" customHeight="1">
      <c r="A538" s="3"/>
      <c r="B538" s="3"/>
      <c r="C538" s="3"/>
      <c r="D538" s="3"/>
      <c r="E538" s="3"/>
      <c r="F538" s="3"/>
      <c r="I538" s="3"/>
      <c r="J538" s="3"/>
      <c r="K538" s="3"/>
      <c r="L538" s="3"/>
      <c r="M538" s="3"/>
      <c r="N538" s="3"/>
      <c r="O538" s="3"/>
    </row>
    <row r="539" ht="15.75" customHeight="1">
      <c r="A539" s="3"/>
      <c r="B539" s="3"/>
      <c r="C539" s="3"/>
      <c r="D539" s="3"/>
      <c r="E539" s="3"/>
      <c r="F539" s="3"/>
      <c r="I539" s="3"/>
      <c r="J539" s="3"/>
      <c r="K539" s="3"/>
      <c r="L539" s="3"/>
      <c r="M539" s="3"/>
      <c r="N539" s="3"/>
      <c r="O539" s="3"/>
    </row>
    <row r="540" ht="15.75" customHeight="1">
      <c r="A540" s="3"/>
      <c r="B540" s="3"/>
      <c r="C540" s="3"/>
      <c r="D540" s="3"/>
      <c r="E540" s="3"/>
      <c r="F540" s="3"/>
      <c r="I540" s="3"/>
      <c r="J540" s="3"/>
      <c r="K540" s="3"/>
      <c r="L540" s="3"/>
      <c r="M540" s="3"/>
      <c r="N540" s="3"/>
      <c r="O540" s="3"/>
    </row>
    <row r="541" ht="15.75" customHeight="1">
      <c r="A541" s="3"/>
      <c r="B541" s="3"/>
      <c r="C541" s="3"/>
      <c r="D541" s="3"/>
      <c r="E541" s="3"/>
      <c r="F541" s="3"/>
      <c r="I541" s="3"/>
      <c r="J541" s="3"/>
      <c r="K541" s="3"/>
      <c r="L541" s="3"/>
      <c r="M541" s="3"/>
      <c r="N541" s="3"/>
      <c r="O541" s="3"/>
    </row>
    <row r="542" ht="15.75" customHeight="1">
      <c r="A542" s="3"/>
      <c r="B542" s="3"/>
      <c r="C542" s="3"/>
      <c r="D542" s="3"/>
      <c r="E542" s="3"/>
      <c r="F542" s="3"/>
      <c r="I542" s="3"/>
      <c r="J542" s="3"/>
      <c r="K542" s="3"/>
      <c r="L542" s="3"/>
      <c r="M542" s="3"/>
      <c r="N542" s="3"/>
      <c r="O542" s="3"/>
    </row>
    <row r="543" ht="15.75" customHeight="1">
      <c r="A543" s="3"/>
      <c r="B543" s="3"/>
      <c r="C543" s="3"/>
      <c r="D543" s="3"/>
      <c r="E543" s="3"/>
      <c r="F543" s="3"/>
      <c r="I543" s="3"/>
      <c r="J543" s="3"/>
      <c r="K543" s="3"/>
      <c r="L543" s="3"/>
      <c r="M543" s="3"/>
      <c r="N543" s="3"/>
      <c r="O543" s="3"/>
    </row>
    <row r="544" ht="15.75" customHeight="1">
      <c r="A544" s="3"/>
      <c r="B544" s="3"/>
      <c r="C544" s="3"/>
      <c r="D544" s="3"/>
      <c r="E544" s="3"/>
      <c r="F544" s="3"/>
      <c r="I544" s="3"/>
      <c r="J544" s="3"/>
      <c r="K544" s="3"/>
      <c r="L544" s="3"/>
      <c r="M544" s="3"/>
      <c r="N544" s="3"/>
      <c r="O544" s="3"/>
    </row>
    <row r="545" ht="15.75" customHeight="1">
      <c r="A545" s="3"/>
      <c r="B545" s="3"/>
      <c r="C545" s="3"/>
      <c r="D545" s="3"/>
      <c r="E545" s="3"/>
      <c r="F545" s="3"/>
      <c r="I545" s="3"/>
      <c r="J545" s="3"/>
      <c r="K545" s="3"/>
      <c r="L545" s="3"/>
      <c r="M545" s="3"/>
      <c r="N545" s="3"/>
      <c r="O545" s="3"/>
    </row>
    <row r="546" ht="15.75" customHeight="1">
      <c r="A546" s="3"/>
      <c r="B546" s="3"/>
      <c r="C546" s="3"/>
      <c r="D546" s="3"/>
      <c r="E546" s="3"/>
      <c r="F546" s="3"/>
      <c r="I546" s="3"/>
      <c r="J546" s="3"/>
      <c r="K546" s="3"/>
      <c r="L546" s="3"/>
      <c r="M546" s="3"/>
      <c r="N546" s="3"/>
      <c r="O546" s="3"/>
    </row>
    <row r="547" ht="15.75" customHeight="1">
      <c r="A547" s="3"/>
      <c r="B547" s="3"/>
      <c r="C547" s="3"/>
      <c r="D547" s="3"/>
      <c r="E547" s="3"/>
      <c r="F547" s="3"/>
      <c r="I547" s="3"/>
      <c r="J547" s="3"/>
      <c r="K547" s="3"/>
      <c r="L547" s="3"/>
      <c r="M547" s="3"/>
      <c r="N547" s="3"/>
      <c r="O547" s="3"/>
    </row>
    <row r="548" ht="15.75" customHeight="1">
      <c r="A548" s="3"/>
      <c r="B548" s="3"/>
      <c r="C548" s="3"/>
      <c r="D548" s="3"/>
      <c r="E548" s="3"/>
      <c r="F548" s="3"/>
      <c r="I548" s="3"/>
      <c r="J548" s="3"/>
      <c r="K548" s="3"/>
      <c r="L548" s="3"/>
      <c r="M548" s="3"/>
      <c r="N548" s="3"/>
      <c r="O548" s="3"/>
    </row>
    <row r="549" ht="15.75" customHeight="1">
      <c r="A549" s="3"/>
      <c r="B549" s="3"/>
      <c r="C549" s="3"/>
      <c r="D549" s="3"/>
      <c r="E549" s="3"/>
      <c r="F549" s="3"/>
      <c r="I549" s="3"/>
      <c r="J549" s="3"/>
      <c r="K549" s="3"/>
      <c r="L549" s="3"/>
      <c r="M549" s="3"/>
      <c r="N549" s="3"/>
      <c r="O549" s="3"/>
    </row>
    <row r="550" ht="15.75" customHeight="1">
      <c r="A550" s="3"/>
      <c r="B550" s="3"/>
      <c r="C550" s="3"/>
      <c r="D550" s="3"/>
      <c r="E550" s="3"/>
      <c r="F550" s="3"/>
      <c r="I550" s="3"/>
      <c r="J550" s="3"/>
      <c r="K550" s="3"/>
      <c r="L550" s="3"/>
      <c r="M550" s="3"/>
      <c r="N550" s="3"/>
      <c r="O550" s="3"/>
    </row>
    <row r="551" ht="15.75" customHeight="1">
      <c r="A551" s="3"/>
      <c r="B551" s="3"/>
      <c r="C551" s="3"/>
      <c r="D551" s="3"/>
      <c r="E551" s="3"/>
      <c r="F551" s="3"/>
      <c r="I551" s="3"/>
      <c r="J551" s="3"/>
      <c r="K551" s="3"/>
      <c r="L551" s="3"/>
      <c r="M551" s="3"/>
      <c r="N551" s="3"/>
      <c r="O551" s="3"/>
    </row>
    <row r="552" ht="15.75" customHeight="1">
      <c r="A552" s="3"/>
      <c r="B552" s="3"/>
      <c r="C552" s="3"/>
      <c r="D552" s="3"/>
      <c r="E552" s="3"/>
      <c r="F552" s="3"/>
      <c r="I552" s="3"/>
      <c r="J552" s="3"/>
      <c r="K552" s="3"/>
      <c r="L552" s="3"/>
      <c r="M552" s="3"/>
      <c r="N552" s="3"/>
      <c r="O552" s="3"/>
    </row>
    <row r="553" ht="15.75" customHeight="1">
      <c r="A553" s="3"/>
      <c r="B553" s="3"/>
      <c r="C553" s="3"/>
      <c r="D553" s="3"/>
      <c r="E553" s="3"/>
      <c r="F553" s="3"/>
      <c r="I553" s="3"/>
      <c r="J553" s="3"/>
      <c r="K553" s="3"/>
      <c r="L553" s="3"/>
      <c r="M553" s="3"/>
      <c r="N553" s="3"/>
      <c r="O553" s="3"/>
    </row>
    <row r="554" ht="15.75" customHeight="1">
      <c r="A554" s="3"/>
      <c r="B554" s="3"/>
      <c r="C554" s="3"/>
      <c r="D554" s="3"/>
      <c r="E554" s="3"/>
      <c r="F554" s="3"/>
      <c r="I554" s="3"/>
      <c r="J554" s="3"/>
      <c r="K554" s="3"/>
      <c r="L554" s="3"/>
      <c r="M554" s="3"/>
      <c r="N554" s="3"/>
      <c r="O554" s="3"/>
    </row>
    <row r="555" ht="15.75" customHeight="1">
      <c r="A555" s="3"/>
      <c r="B555" s="3"/>
      <c r="C555" s="3"/>
      <c r="D555" s="3"/>
      <c r="E555" s="3"/>
      <c r="F555" s="3"/>
      <c r="I555" s="3"/>
      <c r="J555" s="3"/>
      <c r="K555" s="3"/>
      <c r="L555" s="3"/>
      <c r="M555" s="3"/>
      <c r="N555" s="3"/>
      <c r="O555" s="3"/>
    </row>
    <row r="556" ht="15.75" customHeight="1">
      <c r="A556" s="3"/>
      <c r="B556" s="3"/>
      <c r="C556" s="3"/>
      <c r="D556" s="3"/>
      <c r="E556" s="3"/>
      <c r="F556" s="3"/>
      <c r="I556" s="3"/>
      <c r="J556" s="3"/>
      <c r="K556" s="3"/>
      <c r="L556" s="3"/>
      <c r="M556" s="3"/>
      <c r="N556" s="3"/>
      <c r="O556" s="3"/>
    </row>
    <row r="557" ht="15.75" customHeight="1">
      <c r="A557" s="3"/>
      <c r="B557" s="3"/>
      <c r="C557" s="3"/>
      <c r="D557" s="3"/>
      <c r="E557" s="3"/>
      <c r="F557" s="3"/>
      <c r="I557" s="3"/>
      <c r="J557" s="3"/>
      <c r="K557" s="3"/>
      <c r="L557" s="3"/>
      <c r="M557" s="3"/>
      <c r="N557" s="3"/>
      <c r="O557" s="3"/>
    </row>
    <row r="558" ht="15.75" customHeight="1">
      <c r="A558" s="3"/>
      <c r="B558" s="3"/>
      <c r="C558" s="3"/>
      <c r="D558" s="3"/>
      <c r="E558" s="3"/>
      <c r="F558" s="3"/>
      <c r="I558" s="3"/>
      <c r="J558" s="3"/>
      <c r="K558" s="3"/>
      <c r="L558" s="3"/>
      <c r="M558" s="3"/>
      <c r="N558" s="3"/>
      <c r="O558" s="3"/>
    </row>
    <row r="559" ht="15.75" customHeight="1">
      <c r="A559" s="3"/>
      <c r="B559" s="3"/>
      <c r="C559" s="3"/>
      <c r="D559" s="3"/>
      <c r="E559" s="3"/>
      <c r="F559" s="3"/>
      <c r="I559" s="3"/>
      <c r="J559" s="3"/>
      <c r="K559" s="3"/>
      <c r="L559" s="3"/>
      <c r="M559" s="3"/>
      <c r="N559" s="3"/>
      <c r="O559" s="3"/>
    </row>
    <row r="560" ht="15.75" customHeight="1">
      <c r="A560" s="3"/>
      <c r="B560" s="3"/>
      <c r="C560" s="3"/>
      <c r="D560" s="3"/>
      <c r="E560" s="3"/>
      <c r="F560" s="3"/>
      <c r="I560" s="3"/>
      <c r="J560" s="3"/>
      <c r="K560" s="3"/>
      <c r="L560" s="3"/>
      <c r="M560" s="3"/>
      <c r="N560" s="3"/>
      <c r="O560" s="3"/>
    </row>
    <row r="561" ht="15.75" customHeight="1">
      <c r="A561" s="3"/>
      <c r="B561" s="3"/>
      <c r="C561" s="3"/>
      <c r="D561" s="3"/>
      <c r="E561" s="3"/>
      <c r="F561" s="3"/>
      <c r="I561" s="3"/>
      <c r="J561" s="3"/>
      <c r="K561" s="3"/>
      <c r="L561" s="3"/>
      <c r="M561" s="3"/>
      <c r="N561" s="3"/>
      <c r="O561" s="3"/>
    </row>
    <row r="562" ht="15.75" customHeight="1">
      <c r="A562" s="3"/>
      <c r="B562" s="3"/>
      <c r="C562" s="3"/>
      <c r="D562" s="3"/>
      <c r="E562" s="3"/>
      <c r="F562" s="3"/>
      <c r="I562" s="3"/>
      <c r="J562" s="3"/>
      <c r="K562" s="3"/>
      <c r="L562" s="3"/>
      <c r="M562" s="3"/>
      <c r="N562" s="3"/>
      <c r="O562" s="3"/>
    </row>
    <row r="563" ht="15.75" customHeight="1">
      <c r="A563" s="3"/>
      <c r="B563" s="3"/>
      <c r="C563" s="3"/>
      <c r="D563" s="3"/>
      <c r="E563" s="3"/>
      <c r="F563" s="3"/>
      <c r="I563" s="3"/>
      <c r="J563" s="3"/>
      <c r="K563" s="3"/>
      <c r="L563" s="3"/>
      <c r="M563" s="3"/>
      <c r="N563" s="3"/>
      <c r="O563" s="3"/>
    </row>
    <row r="564" ht="15.75" customHeight="1">
      <c r="A564" s="3"/>
      <c r="B564" s="3"/>
      <c r="C564" s="3"/>
      <c r="D564" s="3"/>
      <c r="E564" s="3"/>
      <c r="F564" s="3"/>
      <c r="I564" s="3"/>
      <c r="J564" s="3"/>
      <c r="K564" s="3"/>
      <c r="L564" s="3"/>
      <c r="M564" s="3"/>
      <c r="N564" s="3"/>
      <c r="O564" s="3"/>
    </row>
    <row r="565" ht="15.75" customHeight="1">
      <c r="A565" s="3"/>
      <c r="B565" s="3"/>
      <c r="C565" s="3"/>
      <c r="D565" s="3"/>
      <c r="E565" s="3"/>
      <c r="F565" s="3"/>
      <c r="I565" s="3"/>
      <c r="J565" s="3"/>
      <c r="K565" s="3"/>
      <c r="L565" s="3"/>
      <c r="M565" s="3"/>
      <c r="N565" s="3"/>
      <c r="O565" s="3"/>
    </row>
    <row r="566" ht="15.75" customHeight="1">
      <c r="A566" s="3"/>
      <c r="B566" s="3"/>
      <c r="C566" s="3"/>
      <c r="D566" s="3"/>
      <c r="E566" s="3"/>
      <c r="F566" s="3"/>
      <c r="I566" s="3"/>
      <c r="J566" s="3"/>
      <c r="K566" s="3"/>
      <c r="L566" s="3"/>
      <c r="M566" s="3"/>
      <c r="N566" s="3"/>
      <c r="O566" s="3"/>
    </row>
    <row r="567" ht="15.75" customHeight="1">
      <c r="A567" s="3"/>
      <c r="B567" s="3"/>
      <c r="C567" s="3"/>
      <c r="D567" s="3"/>
      <c r="E567" s="3"/>
      <c r="F567" s="3"/>
      <c r="I567" s="3"/>
      <c r="J567" s="3"/>
      <c r="K567" s="3"/>
      <c r="L567" s="3"/>
      <c r="M567" s="3"/>
      <c r="N567" s="3"/>
      <c r="O567" s="3"/>
    </row>
    <row r="568" ht="15.75" customHeight="1">
      <c r="A568" s="3"/>
      <c r="B568" s="3"/>
      <c r="C568" s="3"/>
      <c r="D568" s="3"/>
      <c r="E568" s="3"/>
      <c r="F568" s="3"/>
      <c r="I568" s="3"/>
      <c r="J568" s="3"/>
      <c r="K568" s="3"/>
      <c r="L568" s="3"/>
      <c r="M568" s="3"/>
      <c r="N568" s="3"/>
      <c r="O568" s="3"/>
    </row>
    <row r="569" ht="15.75" customHeight="1">
      <c r="A569" s="3"/>
      <c r="B569" s="3"/>
      <c r="C569" s="3"/>
      <c r="D569" s="3"/>
      <c r="E569" s="3"/>
      <c r="F569" s="3"/>
      <c r="I569" s="3"/>
      <c r="J569" s="3"/>
      <c r="K569" s="3"/>
      <c r="L569" s="3"/>
      <c r="M569" s="3"/>
      <c r="N569" s="3"/>
      <c r="O569" s="3"/>
    </row>
    <row r="570" ht="15.75" customHeight="1">
      <c r="A570" s="3"/>
      <c r="B570" s="3"/>
      <c r="C570" s="3"/>
      <c r="D570" s="3"/>
      <c r="E570" s="3"/>
      <c r="F570" s="3"/>
      <c r="I570" s="3"/>
      <c r="J570" s="3"/>
      <c r="K570" s="3"/>
      <c r="L570" s="3"/>
      <c r="M570" s="3"/>
      <c r="N570" s="3"/>
      <c r="O570" s="3"/>
    </row>
    <row r="571" ht="15.75" customHeight="1">
      <c r="A571" s="3"/>
      <c r="B571" s="3"/>
      <c r="C571" s="3"/>
      <c r="D571" s="3"/>
      <c r="E571" s="3"/>
      <c r="F571" s="3"/>
      <c r="I571" s="3"/>
      <c r="J571" s="3"/>
      <c r="K571" s="3"/>
      <c r="L571" s="3"/>
      <c r="M571" s="3"/>
      <c r="N571" s="3"/>
      <c r="O571" s="3"/>
    </row>
    <row r="572" ht="15.75" customHeight="1">
      <c r="A572" s="3"/>
      <c r="B572" s="3"/>
      <c r="C572" s="3"/>
      <c r="D572" s="3"/>
      <c r="E572" s="3"/>
      <c r="F572" s="3"/>
      <c r="I572" s="3"/>
      <c r="J572" s="3"/>
      <c r="K572" s="3"/>
      <c r="L572" s="3"/>
      <c r="M572" s="3"/>
      <c r="N572" s="3"/>
      <c r="O572" s="3"/>
    </row>
    <row r="573" ht="15.75" customHeight="1">
      <c r="A573" s="3"/>
      <c r="B573" s="3"/>
      <c r="C573" s="3"/>
      <c r="D573" s="3"/>
      <c r="E573" s="3"/>
      <c r="F573" s="3"/>
      <c r="I573" s="3"/>
      <c r="J573" s="3"/>
      <c r="K573" s="3"/>
      <c r="L573" s="3"/>
      <c r="M573" s="3"/>
      <c r="N573" s="3"/>
      <c r="O573" s="3"/>
    </row>
    <row r="574" ht="15.75" customHeight="1">
      <c r="A574" s="3"/>
      <c r="B574" s="3"/>
      <c r="C574" s="3"/>
      <c r="D574" s="3"/>
      <c r="E574" s="3"/>
      <c r="F574" s="3"/>
      <c r="I574" s="3"/>
      <c r="J574" s="3"/>
      <c r="K574" s="3"/>
      <c r="L574" s="3"/>
      <c r="M574" s="3"/>
      <c r="N574" s="3"/>
      <c r="O574" s="3"/>
    </row>
    <row r="575" ht="15.75" customHeight="1">
      <c r="A575" s="3"/>
      <c r="B575" s="3"/>
      <c r="C575" s="3"/>
      <c r="D575" s="3"/>
      <c r="E575" s="3"/>
      <c r="F575" s="3"/>
      <c r="I575" s="3"/>
      <c r="J575" s="3"/>
      <c r="K575" s="3"/>
      <c r="L575" s="3"/>
      <c r="M575" s="3"/>
      <c r="N575" s="3"/>
      <c r="O575" s="3"/>
    </row>
    <row r="576" ht="15.75" customHeight="1">
      <c r="A576" s="3"/>
      <c r="B576" s="3"/>
      <c r="C576" s="3"/>
      <c r="D576" s="3"/>
      <c r="E576" s="3"/>
      <c r="F576" s="3"/>
      <c r="I576" s="3"/>
      <c r="J576" s="3"/>
      <c r="K576" s="3"/>
      <c r="L576" s="3"/>
      <c r="M576" s="3"/>
      <c r="N576" s="3"/>
      <c r="O576" s="3"/>
    </row>
    <row r="577" ht="15.75" customHeight="1">
      <c r="A577" s="3"/>
      <c r="B577" s="3"/>
      <c r="C577" s="3"/>
      <c r="D577" s="3"/>
      <c r="E577" s="3"/>
      <c r="F577" s="3"/>
      <c r="I577" s="3"/>
      <c r="J577" s="3"/>
      <c r="K577" s="3"/>
      <c r="L577" s="3"/>
      <c r="M577" s="3"/>
      <c r="N577" s="3"/>
      <c r="O577" s="3"/>
    </row>
    <row r="578" ht="15.75" customHeight="1">
      <c r="A578" s="3"/>
      <c r="B578" s="3"/>
      <c r="C578" s="3"/>
      <c r="D578" s="3"/>
      <c r="E578" s="3"/>
      <c r="F578" s="3"/>
      <c r="I578" s="3"/>
      <c r="J578" s="3"/>
      <c r="K578" s="3"/>
      <c r="L578" s="3"/>
      <c r="M578" s="3"/>
      <c r="N578" s="3"/>
      <c r="O578" s="3"/>
    </row>
    <row r="579" ht="15.75" customHeight="1">
      <c r="A579" s="3"/>
      <c r="B579" s="3"/>
      <c r="C579" s="3"/>
      <c r="D579" s="3"/>
      <c r="E579" s="3"/>
      <c r="F579" s="3"/>
      <c r="I579" s="3"/>
      <c r="J579" s="3"/>
      <c r="K579" s="3"/>
      <c r="L579" s="3"/>
      <c r="M579" s="3"/>
      <c r="N579" s="3"/>
      <c r="O579" s="3"/>
    </row>
    <row r="580" ht="15.75" customHeight="1">
      <c r="A580" s="3"/>
      <c r="B580" s="3"/>
      <c r="C580" s="3"/>
      <c r="D580" s="3"/>
      <c r="E580" s="3"/>
      <c r="F580" s="3"/>
      <c r="I580" s="3"/>
      <c r="J580" s="3"/>
      <c r="K580" s="3"/>
      <c r="L580" s="3"/>
      <c r="M580" s="3"/>
      <c r="N580" s="3"/>
      <c r="O580" s="3"/>
    </row>
    <row r="581" ht="15.75" customHeight="1">
      <c r="A581" s="3"/>
      <c r="B581" s="3"/>
      <c r="C581" s="3"/>
      <c r="D581" s="3"/>
      <c r="E581" s="3"/>
      <c r="F581" s="3"/>
      <c r="I581" s="3"/>
      <c r="J581" s="3"/>
      <c r="K581" s="3"/>
      <c r="L581" s="3"/>
      <c r="M581" s="3"/>
      <c r="N581" s="3"/>
      <c r="O581" s="3"/>
    </row>
    <row r="582" ht="15.75" customHeight="1">
      <c r="A582" s="3"/>
      <c r="B582" s="3"/>
      <c r="C582" s="3"/>
      <c r="D582" s="3"/>
      <c r="E582" s="3"/>
      <c r="F582" s="3"/>
      <c r="I582" s="3"/>
      <c r="J582" s="3"/>
      <c r="K582" s="3"/>
      <c r="L582" s="3"/>
      <c r="M582" s="3"/>
      <c r="N582" s="3"/>
      <c r="O582" s="3"/>
    </row>
    <row r="583" ht="15.75" customHeight="1">
      <c r="A583" s="3"/>
      <c r="B583" s="3"/>
      <c r="C583" s="3"/>
      <c r="D583" s="3"/>
      <c r="E583" s="3"/>
      <c r="F583" s="3"/>
      <c r="I583" s="3"/>
      <c r="J583" s="3"/>
      <c r="K583" s="3"/>
      <c r="L583" s="3"/>
      <c r="M583" s="3"/>
      <c r="N583" s="3"/>
      <c r="O583" s="3"/>
    </row>
    <row r="584" ht="15.75" customHeight="1">
      <c r="A584" s="3"/>
      <c r="B584" s="3"/>
      <c r="C584" s="3"/>
      <c r="D584" s="3"/>
      <c r="E584" s="3"/>
      <c r="F584" s="3"/>
      <c r="I584" s="3"/>
      <c r="J584" s="3"/>
      <c r="K584" s="3"/>
      <c r="L584" s="3"/>
      <c r="M584" s="3"/>
      <c r="N584" s="3"/>
      <c r="O584" s="3"/>
    </row>
    <row r="585" ht="15.75" customHeight="1">
      <c r="A585" s="3"/>
      <c r="B585" s="3"/>
      <c r="C585" s="3"/>
      <c r="D585" s="3"/>
      <c r="E585" s="3"/>
      <c r="F585" s="3"/>
      <c r="I585" s="3"/>
      <c r="J585" s="3"/>
      <c r="K585" s="3"/>
      <c r="L585" s="3"/>
      <c r="M585" s="3"/>
      <c r="N585" s="3"/>
      <c r="O585" s="3"/>
    </row>
    <row r="586" ht="15.75" customHeight="1">
      <c r="A586" s="3"/>
      <c r="B586" s="3"/>
      <c r="C586" s="3"/>
      <c r="D586" s="3"/>
      <c r="E586" s="3"/>
      <c r="F586" s="3"/>
      <c r="I586" s="3"/>
      <c r="J586" s="3"/>
      <c r="K586" s="3"/>
      <c r="L586" s="3"/>
      <c r="M586" s="3"/>
      <c r="N586" s="3"/>
      <c r="O586" s="3"/>
    </row>
    <row r="587" ht="15.75" customHeight="1">
      <c r="A587" s="3"/>
      <c r="B587" s="3"/>
      <c r="C587" s="3"/>
      <c r="D587" s="3"/>
      <c r="E587" s="3"/>
      <c r="F587" s="3"/>
      <c r="I587" s="3"/>
      <c r="J587" s="3"/>
      <c r="K587" s="3"/>
      <c r="L587" s="3"/>
      <c r="M587" s="3"/>
      <c r="N587" s="3"/>
      <c r="O587" s="3"/>
    </row>
    <row r="588" ht="15.75" customHeight="1">
      <c r="A588" s="3"/>
      <c r="B588" s="3"/>
      <c r="C588" s="3"/>
      <c r="D588" s="3"/>
      <c r="E588" s="3"/>
      <c r="F588" s="3"/>
      <c r="I588" s="3"/>
      <c r="J588" s="3"/>
      <c r="K588" s="3"/>
      <c r="L588" s="3"/>
      <c r="M588" s="3"/>
      <c r="N588" s="3"/>
      <c r="O588" s="3"/>
    </row>
    <row r="589" ht="15.75" customHeight="1">
      <c r="A589" s="3"/>
      <c r="B589" s="3"/>
      <c r="C589" s="3"/>
      <c r="D589" s="3"/>
      <c r="E589" s="3"/>
      <c r="F589" s="3"/>
      <c r="I589" s="3"/>
      <c r="J589" s="3"/>
      <c r="K589" s="3"/>
      <c r="L589" s="3"/>
      <c r="M589" s="3"/>
      <c r="N589" s="3"/>
      <c r="O589" s="3"/>
    </row>
    <row r="590" ht="15.75" customHeight="1">
      <c r="A590" s="3"/>
      <c r="B590" s="3"/>
      <c r="C590" s="3"/>
      <c r="D590" s="3"/>
      <c r="E590" s="3"/>
      <c r="F590" s="3"/>
      <c r="I590" s="3"/>
      <c r="J590" s="3"/>
      <c r="K590" s="3"/>
      <c r="L590" s="3"/>
      <c r="M590" s="3"/>
      <c r="N590" s="3"/>
      <c r="O590" s="3"/>
    </row>
    <row r="591" ht="15.75" customHeight="1">
      <c r="A591" s="3"/>
      <c r="B591" s="3"/>
      <c r="C591" s="3"/>
      <c r="D591" s="3"/>
      <c r="E591" s="3"/>
      <c r="F591" s="3"/>
      <c r="I591" s="3"/>
      <c r="J591" s="3"/>
      <c r="K591" s="3"/>
      <c r="L591" s="3"/>
      <c r="M591" s="3"/>
      <c r="N591" s="3"/>
      <c r="O591" s="3"/>
    </row>
    <row r="592" ht="15.75" customHeight="1">
      <c r="A592" s="3"/>
      <c r="B592" s="3"/>
      <c r="C592" s="3"/>
      <c r="D592" s="3"/>
      <c r="E592" s="3"/>
      <c r="F592" s="3"/>
      <c r="I592" s="3"/>
      <c r="J592" s="3"/>
      <c r="K592" s="3"/>
      <c r="L592" s="3"/>
      <c r="M592" s="3"/>
      <c r="N592" s="3"/>
      <c r="O592" s="3"/>
    </row>
    <row r="593" ht="15.75" customHeight="1">
      <c r="A593" s="3"/>
      <c r="B593" s="3"/>
      <c r="C593" s="3"/>
      <c r="D593" s="3"/>
      <c r="E593" s="3"/>
      <c r="F593" s="3"/>
      <c r="I593" s="3"/>
      <c r="J593" s="3"/>
      <c r="K593" s="3"/>
      <c r="L593" s="3"/>
      <c r="M593" s="3"/>
      <c r="N593" s="3"/>
      <c r="O593" s="3"/>
    </row>
    <row r="594" ht="15.75" customHeight="1">
      <c r="A594" s="3"/>
      <c r="B594" s="3"/>
      <c r="C594" s="3"/>
      <c r="D594" s="3"/>
      <c r="E594" s="3"/>
      <c r="F594" s="3"/>
      <c r="I594" s="3"/>
      <c r="J594" s="3"/>
      <c r="K594" s="3"/>
      <c r="L594" s="3"/>
      <c r="M594" s="3"/>
      <c r="N594" s="3"/>
      <c r="O594" s="3"/>
    </row>
    <row r="595" ht="15.75" customHeight="1">
      <c r="A595" s="3"/>
      <c r="B595" s="3"/>
      <c r="C595" s="3"/>
      <c r="D595" s="3"/>
      <c r="E595" s="3"/>
      <c r="F595" s="3"/>
      <c r="I595" s="3"/>
      <c r="J595" s="3"/>
      <c r="K595" s="3"/>
      <c r="L595" s="3"/>
      <c r="M595" s="3"/>
      <c r="N595" s="3"/>
      <c r="O595" s="3"/>
    </row>
    <row r="596" ht="15.75" customHeight="1">
      <c r="A596" s="3"/>
      <c r="B596" s="3"/>
      <c r="C596" s="3"/>
      <c r="D596" s="3"/>
      <c r="E596" s="3"/>
      <c r="F596" s="3"/>
      <c r="I596" s="3"/>
      <c r="J596" s="3"/>
      <c r="K596" s="3"/>
      <c r="L596" s="3"/>
      <c r="M596" s="3"/>
      <c r="N596" s="3"/>
      <c r="O596" s="3"/>
    </row>
    <row r="597" ht="15.75" customHeight="1">
      <c r="A597" s="3"/>
      <c r="B597" s="3"/>
      <c r="C597" s="3"/>
      <c r="D597" s="3"/>
      <c r="E597" s="3"/>
      <c r="F597" s="3"/>
      <c r="I597" s="3"/>
      <c r="J597" s="3"/>
      <c r="K597" s="3"/>
      <c r="L597" s="3"/>
      <c r="M597" s="3"/>
      <c r="N597" s="3"/>
      <c r="O597" s="3"/>
    </row>
    <row r="598" ht="15.75" customHeight="1">
      <c r="A598" s="3"/>
      <c r="B598" s="3"/>
      <c r="C598" s="3"/>
      <c r="D598" s="3"/>
      <c r="E598" s="3"/>
      <c r="F598" s="3"/>
      <c r="I598" s="3"/>
      <c r="J598" s="3"/>
      <c r="K598" s="3"/>
      <c r="L598" s="3"/>
      <c r="M598" s="3"/>
      <c r="N598" s="3"/>
      <c r="O598" s="3"/>
    </row>
    <row r="599" ht="15.75" customHeight="1">
      <c r="A599" s="3"/>
      <c r="B599" s="3"/>
      <c r="C599" s="3"/>
      <c r="D599" s="3"/>
      <c r="E599" s="3"/>
      <c r="F599" s="3"/>
      <c r="I599" s="3"/>
      <c r="J599" s="3"/>
      <c r="K599" s="3"/>
      <c r="L599" s="3"/>
      <c r="M599" s="3"/>
      <c r="N599" s="3"/>
      <c r="O599" s="3"/>
    </row>
    <row r="600" ht="15.75" customHeight="1">
      <c r="A600" s="3"/>
      <c r="B600" s="3"/>
      <c r="C600" s="3"/>
      <c r="D600" s="3"/>
      <c r="E600" s="3"/>
      <c r="F600" s="3"/>
      <c r="I600" s="3"/>
      <c r="J600" s="3"/>
      <c r="K600" s="3"/>
      <c r="L600" s="3"/>
      <c r="M600" s="3"/>
      <c r="N600" s="3"/>
      <c r="O600" s="3"/>
    </row>
    <row r="601" ht="15.75" customHeight="1">
      <c r="A601" s="3"/>
      <c r="B601" s="3"/>
      <c r="C601" s="3"/>
      <c r="D601" s="3"/>
      <c r="E601" s="3"/>
      <c r="F601" s="3"/>
      <c r="I601" s="3"/>
      <c r="J601" s="3"/>
      <c r="K601" s="3"/>
      <c r="L601" s="3"/>
      <c r="M601" s="3"/>
      <c r="N601" s="3"/>
      <c r="O601" s="3"/>
    </row>
    <row r="602" ht="15.75" customHeight="1">
      <c r="A602" s="3"/>
      <c r="B602" s="3"/>
      <c r="C602" s="3"/>
      <c r="D602" s="3"/>
      <c r="E602" s="3"/>
      <c r="F602" s="3"/>
      <c r="I602" s="3"/>
      <c r="J602" s="3"/>
      <c r="K602" s="3"/>
      <c r="L602" s="3"/>
      <c r="M602" s="3"/>
      <c r="N602" s="3"/>
      <c r="O602" s="3"/>
    </row>
    <row r="603" ht="15.75" customHeight="1">
      <c r="A603" s="3"/>
      <c r="B603" s="3"/>
      <c r="C603" s="3"/>
      <c r="D603" s="3"/>
      <c r="E603" s="3"/>
      <c r="F603" s="3"/>
      <c r="I603" s="3"/>
      <c r="J603" s="3"/>
      <c r="K603" s="3"/>
      <c r="L603" s="3"/>
      <c r="M603" s="3"/>
      <c r="N603" s="3"/>
      <c r="O603" s="3"/>
    </row>
    <row r="604" ht="15.75" customHeight="1">
      <c r="A604" s="3"/>
      <c r="B604" s="3"/>
      <c r="C604" s="3"/>
      <c r="D604" s="3"/>
      <c r="E604" s="3"/>
      <c r="F604" s="3"/>
      <c r="I604" s="3"/>
      <c r="J604" s="3"/>
      <c r="K604" s="3"/>
      <c r="L604" s="3"/>
      <c r="M604" s="3"/>
      <c r="N604" s="3"/>
      <c r="O604" s="3"/>
    </row>
    <row r="605" ht="15.75" customHeight="1">
      <c r="A605" s="3"/>
      <c r="B605" s="3"/>
      <c r="C605" s="3"/>
      <c r="D605" s="3"/>
      <c r="E605" s="3"/>
      <c r="F605" s="3"/>
      <c r="I605" s="3"/>
      <c r="J605" s="3"/>
      <c r="K605" s="3"/>
      <c r="L605" s="3"/>
      <c r="M605" s="3"/>
      <c r="N605" s="3"/>
      <c r="O605" s="3"/>
    </row>
    <row r="606" ht="15.75" customHeight="1">
      <c r="A606" s="3"/>
      <c r="B606" s="3"/>
      <c r="C606" s="3"/>
      <c r="D606" s="3"/>
      <c r="E606" s="3"/>
      <c r="F606" s="3"/>
      <c r="I606" s="3"/>
      <c r="J606" s="3"/>
      <c r="K606" s="3"/>
      <c r="L606" s="3"/>
      <c r="M606" s="3"/>
      <c r="N606" s="3"/>
      <c r="O606" s="3"/>
    </row>
    <row r="607" ht="15.75" customHeight="1">
      <c r="A607" s="3"/>
      <c r="B607" s="3"/>
      <c r="C607" s="3"/>
      <c r="D607" s="3"/>
      <c r="E607" s="3"/>
      <c r="F607" s="3"/>
      <c r="I607" s="3"/>
      <c r="J607" s="3"/>
      <c r="K607" s="3"/>
      <c r="L607" s="3"/>
      <c r="M607" s="3"/>
      <c r="N607" s="3"/>
      <c r="O607" s="3"/>
    </row>
    <row r="608" ht="15.75" customHeight="1">
      <c r="A608" s="3"/>
      <c r="B608" s="3"/>
      <c r="C608" s="3"/>
      <c r="D608" s="3"/>
      <c r="E608" s="3"/>
      <c r="F608" s="3"/>
      <c r="I608" s="3"/>
      <c r="J608" s="3"/>
      <c r="K608" s="3"/>
      <c r="L608" s="3"/>
      <c r="M608" s="3"/>
      <c r="N608" s="3"/>
      <c r="O608" s="3"/>
    </row>
    <row r="609" ht="15.75" customHeight="1">
      <c r="A609" s="3"/>
      <c r="B609" s="3"/>
      <c r="C609" s="3"/>
      <c r="D609" s="3"/>
      <c r="E609" s="3"/>
      <c r="F609" s="3"/>
      <c r="I609" s="3"/>
      <c r="J609" s="3"/>
      <c r="K609" s="3"/>
      <c r="L609" s="3"/>
      <c r="M609" s="3"/>
      <c r="N609" s="3"/>
      <c r="O609" s="3"/>
    </row>
    <row r="610" ht="15.75" customHeight="1">
      <c r="A610" s="3"/>
      <c r="B610" s="3"/>
      <c r="C610" s="3"/>
      <c r="D610" s="3"/>
      <c r="E610" s="3"/>
      <c r="F610" s="3"/>
      <c r="I610" s="3"/>
      <c r="J610" s="3"/>
      <c r="K610" s="3"/>
      <c r="L610" s="3"/>
      <c r="M610" s="3"/>
      <c r="N610" s="3"/>
      <c r="O610" s="3"/>
    </row>
    <row r="611" ht="15.75" customHeight="1">
      <c r="A611" s="3"/>
      <c r="B611" s="3"/>
      <c r="C611" s="3"/>
      <c r="D611" s="3"/>
      <c r="E611" s="3"/>
      <c r="F611" s="3"/>
      <c r="I611" s="3"/>
      <c r="J611" s="3"/>
      <c r="K611" s="3"/>
      <c r="L611" s="3"/>
      <c r="M611" s="3"/>
      <c r="N611" s="3"/>
      <c r="O611" s="3"/>
    </row>
    <row r="612" ht="15.75" customHeight="1">
      <c r="A612" s="3"/>
      <c r="B612" s="3"/>
      <c r="C612" s="3"/>
      <c r="D612" s="3"/>
      <c r="E612" s="3"/>
      <c r="F612" s="3"/>
      <c r="I612" s="3"/>
      <c r="J612" s="3"/>
      <c r="K612" s="3"/>
      <c r="L612" s="3"/>
      <c r="M612" s="3"/>
      <c r="N612" s="3"/>
      <c r="O612" s="3"/>
    </row>
    <row r="613" ht="15.75" customHeight="1">
      <c r="A613" s="3"/>
      <c r="B613" s="3"/>
      <c r="C613" s="3"/>
      <c r="D613" s="3"/>
      <c r="E613" s="3"/>
      <c r="F613" s="3"/>
      <c r="I613" s="3"/>
      <c r="J613" s="3"/>
      <c r="K613" s="3"/>
      <c r="L613" s="3"/>
      <c r="M613" s="3"/>
      <c r="N613" s="3"/>
      <c r="O613" s="3"/>
    </row>
    <row r="614" ht="15.75" customHeight="1">
      <c r="A614" s="3"/>
      <c r="B614" s="3"/>
      <c r="C614" s="3"/>
      <c r="D614" s="3"/>
      <c r="E614" s="3"/>
      <c r="F614" s="3"/>
      <c r="I614" s="3"/>
      <c r="J614" s="3"/>
      <c r="K614" s="3"/>
      <c r="L614" s="3"/>
      <c r="M614" s="3"/>
      <c r="N614" s="3"/>
      <c r="O614" s="3"/>
    </row>
    <row r="615" ht="15.75" customHeight="1">
      <c r="A615" s="3"/>
      <c r="B615" s="3"/>
      <c r="C615" s="3"/>
      <c r="D615" s="3"/>
      <c r="E615" s="3"/>
      <c r="F615" s="3"/>
      <c r="I615" s="3"/>
      <c r="J615" s="3"/>
      <c r="K615" s="3"/>
      <c r="L615" s="3"/>
      <c r="M615" s="3"/>
      <c r="N615" s="3"/>
      <c r="O615" s="3"/>
    </row>
    <row r="616" ht="15.75" customHeight="1">
      <c r="A616" s="3"/>
      <c r="B616" s="3"/>
      <c r="C616" s="3"/>
      <c r="D616" s="3"/>
      <c r="E616" s="3"/>
      <c r="F616" s="3"/>
      <c r="I616" s="3"/>
      <c r="J616" s="3"/>
      <c r="K616" s="3"/>
      <c r="L616" s="3"/>
      <c r="M616" s="3"/>
      <c r="N616" s="3"/>
      <c r="O616" s="3"/>
    </row>
    <row r="617" ht="15.75" customHeight="1">
      <c r="A617" s="3"/>
      <c r="B617" s="3"/>
      <c r="C617" s="3"/>
      <c r="D617" s="3"/>
      <c r="E617" s="3"/>
      <c r="F617" s="3"/>
      <c r="I617" s="3"/>
      <c r="J617" s="3"/>
      <c r="K617" s="3"/>
      <c r="L617" s="3"/>
      <c r="M617" s="3"/>
      <c r="N617" s="3"/>
      <c r="O617" s="3"/>
    </row>
    <row r="618" ht="15.75" customHeight="1">
      <c r="A618" s="3"/>
      <c r="B618" s="3"/>
      <c r="C618" s="3"/>
      <c r="D618" s="3"/>
      <c r="E618" s="3"/>
      <c r="F618" s="3"/>
      <c r="I618" s="3"/>
      <c r="J618" s="3"/>
      <c r="K618" s="3"/>
      <c r="L618" s="3"/>
      <c r="M618" s="3"/>
      <c r="N618" s="3"/>
      <c r="O618" s="3"/>
    </row>
    <row r="619" ht="15.75" customHeight="1">
      <c r="A619" s="3"/>
      <c r="B619" s="3"/>
      <c r="C619" s="3"/>
      <c r="D619" s="3"/>
      <c r="E619" s="3"/>
      <c r="F619" s="3"/>
      <c r="I619" s="3"/>
      <c r="J619" s="3"/>
      <c r="K619" s="3"/>
      <c r="L619" s="3"/>
      <c r="M619" s="3"/>
      <c r="N619" s="3"/>
      <c r="O619" s="3"/>
    </row>
    <row r="620" ht="15.75" customHeight="1">
      <c r="A620" s="3"/>
      <c r="B620" s="3"/>
      <c r="C620" s="3"/>
      <c r="D620" s="3"/>
      <c r="E620" s="3"/>
      <c r="F620" s="3"/>
      <c r="I620" s="3"/>
      <c r="J620" s="3"/>
      <c r="K620" s="3"/>
      <c r="L620" s="3"/>
      <c r="M620" s="3"/>
      <c r="N620" s="3"/>
      <c r="O620" s="3"/>
    </row>
    <row r="621" ht="15.75" customHeight="1">
      <c r="A621" s="3"/>
      <c r="B621" s="3"/>
      <c r="C621" s="3"/>
      <c r="D621" s="3"/>
      <c r="E621" s="3"/>
      <c r="F621" s="3"/>
      <c r="I621" s="3"/>
      <c r="J621" s="3"/>
      <c r="K621" s="3"/>
      <c r="L621" s="3"/>
      <c r="M621" s="3"/>
      <c r="N621" s="3"/>
      <c r="O621" s="3"/>
    </row>
    <row r="622" ht="15.75" customHeight="1">
      <c r="A622" s="3"/>
      <c r="B622" s="3"/>
      <c r="C622" s="3"/>
      <c r="D622" s="3"/>
      <c r="E622" s="3"/>
      <c r="F622" s="3"/>
      <c r="I622" s="3"/>
      <c r="J622" s="3"/>
      <c r="K622" s="3"/>
      <c r="L622" s="3"/>
      <c r="M622" s="3"/>
      <c r="N622" s="3"/>
      <c r="O622" s="3"/>
    </row>
    <row r="623" ht="15.75" customHeight="1">
      <c r="A623" s="3"/>
      <c r="B623" s="3"/>
      <c r="C623" s="3"/>
      <c r="D623" s="3"/>
      <c r="E623" s="3"/>
      <c r="F623" s="3"/>
      <c r="I623" s="3"/>
      <c r="J623" s="3"/>
      <c r="K623" s="3"/>
      <c r="L623" s="3"/>
      <c r="M623" s="3"/>
      <c r="N623" s="3"/>
      <c r="O623" s="3"/>
    </row>
    <row r="624" ht="15.75" customHeight="1">
      <c r="A624" s="3"/>
      <c r="B624" s="3"/>
      <c r="C624" s="3"/>
      <c r="D624" s="3"/>
      <c r="E624" s="3"/>
      <c r="F624" s="3"/>
      <c r="I624" s="3"/>
      <c r="J624" s="3"/>
      <c r="K624" s="3"/>
      <c r="L624" s="3"/>
      <c r="M624" s="3"/>
      <c r="N624" s="3"/>
      <c r="O624" s="3"/>
    </row>
    <row r="625" ht="15.75" customHeight="1">
      <c r="A625" s="3"/>
      <c r="B625" s="3"/>
      <c r="C625" s="3"/>
      <c r="D625" s="3"/>
      <c r="E625" s="3"/>
      <c r="F625" s="3"/>
      <c r="I625" s="3"/>
      <c r="J625" s="3"/>
      <c r="K625" s="3"/>
      <c r="L625" s="3"/>
      <c r="M625" s="3"/>
      <c r="N625" s="3"/>
      <c r="O625" s="3"/>
    </row>
    <row r="626" ht="15.75" customHeight="1">
      <c r="A626" s="3"/>
      <c r="B626" s="3"/>
      <c r="C626" s="3"/>
      <c r="D626" s="3"/>
      <c r="E626" s="3"/>
      <c r="F626" s="3"/>
      <c r="I626" s="3"/>
      <c r="J626" s="3"/>
      <c r="K626" s="3"/>
      <c r="L626" s="3"/>
      <c r="M626" s="3"/>
      <c r="N626" s="3"/>
      <c r="O626" s="3"/>
    </row>
    <row r="627" ht="15.75" customHeight="1">
      <c r="A627" s="3"/>
      <c r="B627" s="3"/>
      <c r="C627" s="3"/>
      <c r="D627" s="3"/>
      <c r="E627" s="3"/>
      <c r="F627" s="3"/>
      <c r="I627" s="3"/>
      <c r="J627" s="3"/>
      <c r="K627" s="3"/>
      <c r="L627" s="3"/>
      <c r="M627" s="3"/>
      <c r="N627" s="3"/>
      <c r="O627" s="3"/>
    </row>
    <row r="628" ht="15.75" customHeight="1">
      <c r="A628" s="3"/>
      <c r="B628" s="3"/>
      <c r="C628" s="3"/>
      <c r="D628" s="3"/>
      <c r="E628" s="3"/>
      <c r="F628" s="3"/>
      <c r="I628" s="3"/>
      <c r="J628" s="3"/>
      <c r="K628" s="3"/>
      <c r="L628" s="3"/>
      <c r="M628" s="3"/>
      <c r="N628" s="3"/>
      <c r="O628" s="3"/>
    </row>
    <row r="629" ht="15.75" customHeight="1">
      <c r="A629" s="3"/>
      <c r="B629" s="3"/>
      <c r="C629" s="3"/>
      <c r="D629" s="3"/>
      <c r="E629" s="3"/>
      <c r="F629" s="3"/>
      <c r="I629" s="3"/>
      <c r="J629" s="3"/>
      <c r="K629" s="3"/>
      <c r="L629" s="3"/>
      <c r="M629" s="3"/>
      <c r="N629" s="3"/>
      <c r="O629" s="3"/>
    </row>
    <row r="630" ht="15.75" customHeight="1">
      <c r="A630" s="3"/>
      <c r="B630" s="3"/>
      <c r="C630" s="3"/>
      <c r="D630" s="3"/>
      <c r="E630" s="3"/>
      <c r="F630" s="3"/>
      <c r="I630" s="3"/>
      <c r="J630" s="3"/>
      <c r="K630" s="3"/>
      <c r="L630" s="3"/>
      <c r="M630" s="3"/>
      <c r="N630" s="3"/>
      <c r="O630" s="3"/>
    </row>
    <row r="631" ht="15.75" customHeight="1">
      <c r="A631" s="3"/>
      <c r="B631" s="3"/>
      <c r="C631" s="3"/>
      <c r="D631" s="3"/>
      <c r="E631" s="3"/>
      <c r="F631" s="3"/>
      <c r="I631" s="3"/>
      <c r="J631" s="3"/>
      <c r="K631" s="3"/>
      <c r="L631" s="3"/>
      <c r="M631" s="3"/>
      <c r="N631" s="3"/>
      <c r="O631" s="3"/>
    </row>
    <row r="632" ht="15.75" customHeight="1">
      <c r="A632" s="3"/>
      <c r="B632" s="3"/>
      <c r="C632" s="3"/>
      <c r="D632" s="3"/>
      <c r="E632" s="3"/>
      <c r="F632" s="3"/>
      <c r="I632" s="3"/>
      <c r="J632" s="3"/>
      <c r="K632" s="3"/>
      <c r="L632" s="3"/>
      <c r="M632" s="3"/>
      <c r="N632" s="3"/>
      <c r="O632" s="3"/>
    </row>
    <row r="633" ht="15.75" customHeight="1">
      <c r="A633" s="3"/>
      <c r="B633" s="3"/>
      <c r="C633" s="3"/>
      <c r="D633" s="3"/>
      <c r="E633" s="3"/>
      <c r="F633" s="3"/>
      <c r="I633" s="3"/>
      <c r="J633" s="3"/>
      <c r="K633" s="3"/>
      <c r="L633" s="3"/>
      <c r="M633" s="3"/>
      <c r="N633" s="3"/>
      <c r="O633" s="3"/>
    </row>
    <row r="634" ht="15.75" customHeight="1">
      <c r="A634" s="3"/>
      <c r="B634" s="3"/>
      <c r="C634" s="3"/>
      <c r="D634" s="3"/>
      <c r="E634" s="3"/>
      <c r="F634" s="3"/>
      <c r="I634" s="3"/>
      <c r="J634" s="3"/>
      <c r="K634" s="3"/>
      <c r="L634" s="3"/>
      <c r="M634" s="3"/>
      <c r="N634" s="3"/>
      <c r="O634" s="3"/>
    </row>
    <row r="635" ht="15.75" customHeight="1">
      <c r="A635" s="3"/>
      <c r="B635" s="3"/>
      <c r="C635" s="3"/>
      <c r="D635" s="3"/>
      <c r="E635" s="3"/>
      <c r="F635" s="3"/>
      <c r="I635" s="3"/>
      <c r="J635" s="3"/>
      <c r="K635" s="3"/>
      <c r="L635" s="3"/>
      <c r="M635" s="3"/>
      <c r="N635" s="3"/>
      <c r="O635" s="3"/>
    </row>
    <row r="636" ht="15.75" customHeight="1">
      <c r="A636" s="3"/>
      <c r="B636" s="3"/>
      <c r="C636" s="3"/>
      <c r="D636" s="3"/>
      <c r="E636" s="3"/>
      <c r="F636" s="3"/>
      <c r="I636" s="3"/>
      <c r="J636" s="3"/>
      <c r="K636" s="3"/>
      <c r="L636" s="3"/>
      <c r="M636" s="3"/>
      <c r="N636" s="3"/>
      <c r="O636" s="3"/>
    </row>
    <row r="637" ht="15.75" customHeight="1">
      <c r="A637" s="3"/>
      <c r="B637" s="3"/>
      <c r="C637" s="3"/>
      <c r="D637" s="3"/>
      <c r="E637" s="3"/>
      <c r="F637" s="3"/>
      <c r="I637" s="3"/>
      <c r="J637" s="3"/>
      <c r="K637" s="3"/>
      <c r="L637" s="3"/>
      <c r="M637" s="3"/>
      <c r="N637" s="3"/>
      <c r="O637" s="3"/>
    </row>
    <row r="638" ht="15.75" customHeight="1">
      <c r="A638" s="3"/>
      <c r="B638" s="3"/>
      <c r="C638" s="3"/>
      <c r="D638" s="3"/>
      <c r="E638" s="3"/>
      <c r="F638" s="3"/>
      <c r="I638" s="3"/>
      <c r="J638" s="3"/>
      <c r="K638" s="3"/>
      <c r="L638" s="3"/>
      <c r="M638" s="3"/>
      <c r="N638" s="3"/>
      <c r="O638" s="3"/>
    </row>
    <row r="639" ht="15.75" customHeight="1">
      <c r="A639" s="3"/>
      <c r="B639" s="3"/>
      <c r="C639" s="3"/>
      <c r="D639" s="3"/>
      <c r="E639" s="3"/>
      <c r="F639" s="3"/>
      <c r="I639" s="3"/>
      <c r="J639" s="3"/>
      <c r="K639" s="3"/>
      <c r="L639" s="3"/>
      <c r="M639" s="3"/>
      <c r="N639" s="3"/>
      <c r="O639" s="3"/>
    </row>
    <row r="640" ht="15.75" customHeight="1">
      <c r="A640" s="3"/>
      <c r="B640" s="3"/>
      <c r="C640" s="3"/>
      <c r="D640" s="3"/>
      <c r="E640" s="3"/>
      <c r="F640" s="3"/>
      <c r="I640" s="3"/>
      <c r="J640" s="3"/>
      <c r="K640" s="3"/>
      <c r="L640" s="3"/>
      <c r="M640" s="3"/>
      <c r="N640" s="3"/>
      <c r="O640" s="3"/>
    </row>
    <row r="641" ht="15.75" customHeight="1">
      <c r="A641" s="3"/>
      <c r="B641" s="3"/>
      <c r="C641" s="3"/>
      <c r="D641" s="3"/>
      <c r="E641" s="3"/>
      <c r="F641" s="3"/>
      <c r="I641" s="3"/>
      <c r="J641" s="3"/>
      <c r="K641" s="3"/>
      <c r="L641" s="3"/>
      <c r="M641" s="3"/>
      <c r="N641" s="3"/>
      <c r="O641" s="3"/>
    </row>
    <row r="642" ht="15.75" customHeight="1">
      <c r="A642" s="3"/>
      <c r="B642" s="3"/>
      <c r="C642" s="3"/>
      <c r="D642" s="3"/>
      <c r="E642" s="3"/>
      <c r="F642" s="3"/>
      <c r="I642" s="3"/>
      <c r="J642" s="3"/>
      <c r="K642" s="3"/>
      <c r="L642" s="3"/>
      <c r="M642" s="3"/>
      <c r="N642" s="3"/>
      <c r="O642" s="3"/>
    </row>
    <row r="643" ht="15.75" customHeight="1">
      <c r="A643" s="3"/>
      <c r="B643" s="3"/>
      <c r="C643" s="3"/>
      <c r="D643" s="3"/>
      <c r="E643" s="3"/>
      <c r="F643" s="3"/>
      <c r="I643" s="3"/>
      <c r="J643" s="3"/>
      <c r="K643" s="3"/>
      <c r="L643" s="3"/>
      <c r="M643" s="3"/>
      <c r="N643" s="3"/>
      <c r="O643" s="3"/>
    </row>
    <row r="644" ht="15.75" customHeight="1">
      <c r="A644" s="3"/>
      <c r="B644" s="3"/>
      <c r="C644" s="3"/>
      <c r="D644" s="3"/>
      <c r="E644" s="3"/>
      <c r="F644" s="3"/>
      <c r="I644" s="3"/>
      <c r="J644" s="3"/>
      <c r="K644" s="3"/>
      <c r="L644" s="3"/>
      <c r="M644" s="3"/>
      <c r="N644" s="3"/>
      <c r="O644" s="3"/>
    </row>
    <row r="645" ht="15.75" customHeight="1">
      <c r="A645" s="3"/>
      <c r="B645" s="3"/>
      <c r="C645" s="3"/>
      <c r="D645" s="3"/>
      <c r="E645" s="3"/>
      <c r="F645" s="3"/>
      <c r="I645" s="3"/>
      <c r="J645" s="3"/>
      <c r="K645" s="3"/>
      <c r="L645" s="3"/>
      <c r="M645" s="3"/>
      <c r="N645" s="3"/>
      <c r="O645" s="3"/>
    </row>
    <row r="646" ht="15.75" customHeight="1">
      <c r="A646" s="3"/>
      <c r="B646" s="3"/>
      <c r="C646" s="3"/>
      <c r="D646" s="3"/>
      <c r="E646" s="3"/>
      <c r="F646" s="3"/>
      <c r="I646" s="3"/>
      <c r="J646" s="3"/>
      <c r="K646" s="3"/>
      <c r="L646" s="3"/>
      <c r="M646" s="3"/>
      <c r="N646" s="3"/>
      <c r="O646" s="3"/>
    </row>
    <row r="647" ht="15.75" customHeight="1">
      <c r="A647" s="3"/>
      <c r="B647" s="3"/>
      <c r="C647" s="3"/>
      <c r="D647" s="3"/>
      <c r="E647" s="3"/>
      <c r="F647" s="3"/>
      <c r="I647" s="3"/>
      <c r="J647" s="3"/>
      <c r="K647" s="3"/>
      <c r="L647" s="3"/>
      <c r="M647" s="3"/>
      <c r="N647" s="3"/>
      <c r="O647" s="3"/>
    </row>
    <row r="648" ht="15.75" customHeight="1">
      <c r="A648" s="3"/>
      <c r="B648" s="3"/>
      <c r="C648" s="3"/>
      <c r="D648" s="3"/>
      <c r="E648" s="3"/>
      <c r="F648" s="3"/>
      <c r="I648" s="3"/>
      <c r="J648" s="3"/>
      <c r="K648" s="3"/>
      <c r="L648" s="3"/>
      <c r="M648" s="3"/>
      <c r="N648" s="3"/>
      <c r="O648" s="3"/>
    </row>
    <row r="649" ht="15.75" customHeight="1">
      <c r="A649" s="3"/>
      <c r="B649" s="3"/>
      <c r="C649" s="3"/>
      <c r="D649" s="3"/>
      <c r="E649" s="3"/>
      <c r="F649" s="3"/>
      <c r="I649" s="3"/>
      <c r="J649" s="3"/>
      <c r="K649" s="3"/>
      <c r="L649" s="3"/>
      <c r="M649" s="3"/>
      <c r="N649" s="3"/>
      <c r="O649" s="3"/>
    </row>
    <row r="650" ht="15.75" customHeight="1">
      <c r="A650" s="3"/>
      <c r="B650" s="3"/>
      <c r="C650" s="3"/>
      <c r="D650" s="3"/>
      <c r="E650" s="3"/>
      <c r="F650" s="3"/>
      <c r="I650" s="3"/>
      <c r="J650" s="3"/>
      <c r="K650" s="3"/>
      <c r="L650" s="3"/>
      <c r="M650" s="3"/>
      <c r="N650" s="3"/>
      <c r="O650" s="3"/>
    </row>
    <row r="651" ht="15.75" customHeight="1">
      <c r="A651" s="3"/>
      <c r="B651" s="3"/>
      <c r="C651" s="3"/>
      <c r="D651" s="3"/>
      <c r="E651" s="3"/>
      <c r="F651" s="3"/>
      <c r="I651" s="3"/>
      <c r="J651" s="3"/>
      <c r="K651" s="3"/>
      <c r="L651" s="3"/>
      <c r="M651" s="3"/>
      <c r="N651" s="3"/>
      <c r="O651" s="3"/>
    </row>
    <row r="652" ht="15.75" customHeight="1">
      <c r="A652" s="3"/>
      <c r="B652" s="3"/>
      <c r="C652" s="3"/>
      <c r="D652" s="3"/>
      <c r="E652" s="3"/>
      <c r="F652" s="3"/>
      <c r="I652" s="3"/>
      <c r="J652" s="3"/>
      <c r="K652" s="3"/>
      <c r="L652" s="3"/>
      <c r="M652" s="3"/>
      <c r="N652" s="3"/>
      <c r="O652" s="3"/>
    </row>
    <row r="653" ht="15.75" customHeight="1">
      <c r="A653" s="3"/>
      <c r="B653" s="3"/>
      <c r="C653" s="3"/>
      <c r="D653" s="3"/>
      <c r="E653" s="3"/>
      <c r="F653" s="3"/>
      <c r="I653" s="3"/>
      <c r="J653" s="3"/>
      <c r="K653" s="3"/>
      <c r="L653" s="3"/>
      <c r="M653" s="3"/>
      <c r="N653" s="3"/>
      <c r="O653" s="3"/>
    </row>
    <row r="654" ht="15.75" customHeight="1">
      <c r="A654" s="3"/>
      <c r="B654" s="3"/>
      <c r="C654" s="3"/>
      <c r="D654" s="3"/>
      <c r="E654" s="3"/>
      <c r="F654" s="3"/>
      <c r="I654" s="3"/>
      <c r="J654" s="3"/>
      <c r="K654" s="3"/>
      <c r="L654" s="3"/>
      <c r="M654" s="3"/>
      <c r="N654" s="3"/>
      <c r="O654" s="3"/>
    </row>
    <row r="655" ht="15.75" customHeight="1">
      <c r="A655" s="3"/>
      <c r="B655" s="3"/>
      <c r="C655" s="3"/>
      <c r="D655" s="3"/>
      <c r="E655" s="3"/>
      <c r="F655" s="3"/>
      <c r="I655" s="3"/>
      <c r="J655" s="3"/>
      <c r="K655" s="3"/>
      <c r="L655" s="3"/>
      <c r="M655" s="3"/>
      <c r="N655" s="3"/>
      <c r="O655" s="3"/>
    </row>
    <row r="656" ht="15.75" customHeight="1">
      <c r="A656" s="3"/>
      <c r="B656" s="3"/>
      <c r="C656" s="3"/>
      <c r="D656" s="3"/>
      <c r="E656" s="3"/>
      <c r="F656" s="3"/>
      <c r="I656" s="3"/>
      <c r="J656" s="3"/>
      <c r="K656" s="3"/>
      <c r="L656" s="3"/>
      <c r="M656" s="3"/>
      <c r="N656" s="3"/>
      <c r="O656" s="3"/>
    </row>
    <row r="657" ht="15.75" customHeight="1">
      <c r="A657" s="3"/>
      <c r="B657" s="3"/>
      <c r="C657" s="3"/>
      <c r="D657" s="3"/>
      <c r="E657" s="3"/>
      <c r="F657" s="3"/>
      <c r="I657" s="3"/>
      <c r="J657" s="3"/>
      <c r="K657" s="3"/>
      <c r="L657" s="3"/>
      <c r="M657" s="3"/>
      <c r="N657" s="3"/>
      <c r="O657" s="3"/>
    </row>
    <row r="658" ht="15.75" customHeight="1">
      <c r="A658" s="3"/>
      <c r="B658" s="3"/>
      <c r="C658" s="3"/>
      <c r="D658" s="3"/>
      <c r="E658" s="3"/>
      <c r="F658" s="3"/>
      <c r="I658" s="3"/>
      <c r="J658" s="3"/>
      <c r="K658" s="3"/>
      <c r="L658" s="3"/>
      <c r="M658" s="3"/>
      <c r="N658" s="3"/>
      <c r="O658" s="3"/>
    </row>
    <row r="659" ht="15.75" customHeight="1">
      <c r="A659" s="3"/>
      <c r="B659" s="3"/>
      <c r="C659" s="3"/>
      <c r="D659" s="3"/>
      <c r="E659" s="3"/>
      <c r="F659" s="3"/>
      <c r="I659" s="3"/>
      <c r="J659" s="3"/>
      <c r="K659" s="3"/>
      <c r="L659" s="3"/>
      <c r="M659" s="3"/>
      <c r="N659" s="3"/>
      <c r="O659" s="3"/>
    </row>
    <row r="660" ht="15.75" customHeight="1">
      <c r="A660" s="3"/>
      <c r="B660" s="3"/>
      <c r="C660" s="3"/>
      <c r="D660" s="3"/>
      <c r="E660" s="3"/>
      <c r="F660" s="3"/>
      <c r="I660" s="3"/>
      <c r="J660" s="3"/>
      <c r="K660" s="3"/>
      <c r="L660" s="3"/>
      <c r="M660" s="3"/>
      <c r="N660" s="3"/>
      <c r="O660" s="3"/>
    </row>
    <row r="661" ht="15.75" customHeight="1">
      <c r="A661" s="3"/>
      <c r="B661" s="3"/>
      <c r="C661" s="3"/>
      <c r="D661" s="3"/>
      <c r="E661" s="3"/>
      <c r="F661" s="3"/>
      <c r="I661" s="3"/>
      <c r="J661" s="3"/>
      <c r="K661" s="3"/>
      <c r="L661" s="3"/>
      <c r="M661" s="3"/>
      <c r="N661" s="3"/>
      <c r="O661" s="3"/>
    </row>
    <row r="662" ht="15.75" customHeight="1">
      <c r="A662" s="3"/>
      <c r="B662" s="3"/>
      <c r="C662" s="3"/>
      <c r="D662" s="3"/>
      <c r="E662" s="3"/>
      <c r="F662" s="3"/>
      <c r="I662" s="3"/>
      <c r="J662" s="3"/>
      <c r="K662" s="3"/>
      <c r="L662" s="3"/>
      <c r="M662" s="3"/>
      <c r="N662" s="3"/>
      <c r="O662" s="3"/>
    </row>
    <row r="663" ht="15.75" customHeight="1">
      <c r="A663" s="3"/>
      <c r="B663" s="3"/>
      <c r="C663" s="3"/>
      <c r="D663" s="3"/>
      <c r="E663" s="3"/>
      <c r="F663" s="3"/>
      <c r="I663" s="3"/>
      <c r="J663" s="3"/>
      <c r="K663" s="3"/>
      <c r="L663" s="3"/>
      <c r="M663" s="3"/>
      <c r="N663" s="3"/>
      <c r="O663" s="3"/>
    </row>
    <row r="664" ht="15.75" customHeight="1">
      <c r="A664" s="3"/>
      <c r="B664" s="3"/>
      <c r="C664" s="3"/>
      <c r="D664" s="3"/>
      <c r="E664" s="3"/>
      <c r="F664" s="3"/>
      <c r="I664" s="3"/>
      <c r="J664" s="3"/>
      <c r="K664" s="3"/>
      <c r="L664" s="3"/>
      <c r="M664" s="3"/>
      <c r="N664" s="3"/>
      <c r="O664" s="3"/>
    </row>
    <row r="665" ht="15.75" customHeight="1">
      <c r="A665" s="3"/>
      <c r="B665" s="3"/>
      <c r="C665" s="3"/>
      <c r="D665" s="3"/>
      <c r="E665" s="3"/>
      <c r="F665" s="3"/>
      <c r="I665" s="3"/>
      <c r="J665" s="3"/>
      <c r="K665" s="3"/>
      <c r="L665" s="3"/>
      <c r="M665" s="3"/>
      <c r="N665" s="3"/>
      <c r="O665" s="3"/>
    </row>
    <row r="666" ht="15.75" customHeight="1">
      <c r="A666" s="3"/>
      <c r="B666" s="3"/>
      <c r="C666" s="3"/>
      <c r="D666" s="3"/>
      <c r="E666" s="3"/>
      <c r="F666" s="3"/>
      <c r="I666" s="3"/>
      <c r="J666" s="3"/>
      <c r="K666" s="3"/>
      <c r="L666" s="3"/>
      <c r="M666" s="3"/>
      <c r="N666" s="3"/>
      <c r="O666" s="3"/>
    </row>
    <row r="667" ht="15.75" customHeight="1">
      <c r="A667" s="3"/>
      <c r="B667" s="3"/>
      <c r="C667" s="3"/>
      <c r="D667" s="3"/>
      <c r="E667" s="3"/>
      <c r="F667" s="3"/>
      <c r="I667" s="3"/>
      <c r="J667" s="3"/>
      <c r="K667" s="3"/>
      <c r="L667" s="3"/>
      <c r="M667" s="3"/>
      <c r="N667" s="3"/>
      <c r="O667" s="3"/>
    </row>
    <row r="668" ht="15.75" customHeight="1">
      <c r="A668" s="3"/>
      <c r="B668" s="3"/>
      <c r="C668" s="3"/>
      <c r="D668" s="3"/>
      <c r="E668" s="3"/>
      <c r="F668" s="3"/>
      <c r="I668" s="3"/>
      <c r="J668" s="3"/>
      <c r="K668" s="3"/>
      <c r="L668" s="3"/>
      <c r="M668" s="3"/>
      <c r="N668" s="3"/>
      <c r="O668" s="3"/>
    </row>
    <row r="669" ht="15.75" customHeight="1">
      <c r="A669" s="3"/>
      <c r="B669" s="3"/>
      <c r="C669" s="3"/>
      <c r="D669" s="3"/>
      <c r="E669" s="3"/>
      <c r="F669" s="3"/>
      <c r="I669" s="3"/>
      <c r="J669" s="3"/>
      <c r="K669" s="3"/>
      <c r="L669" s="3"/>
      <c r="M669" s="3"/>
      <c r="N669" s="3"/>
      <c r="O669" s="3"/>
    </row>
    <row r="670" ht="15.75" customHeight="1">
      <c r="A670" s="3"/>
      <c r="B670" s="3"/>
      <c r="C670" s="3"/>
      <c r="D670" s="3"/>
      <c r="E670" s="3"/>
      <c r="F670" s="3"/>
      <c r="I670" s="3"/>
      <c r="J670" s="3"/>
      <c r="K670" s="3"/>
      <c r="L670" s="3"/>
      <c r="M670" s="3"/>
      <c r="N670" s="3"/>
      <c r="O670" s="3"/>
    </row>
    <row r="671" ht="15.75" customHeight="1">
      <c r="A671" s="3"/>
      <c r="B671" s="3"/>
      <c r="C671" s="3"/>
      <c r="D671" s="3"/>
      <c r="E671" s="3"/>
      <c r="F671" s="3"/>
      <c r="I671" s="3"/>
      <c r="J671" s="3"/>
      <c r="K671" s="3"/>
      <c r="L671" s="3"/>
      <c r="M671" s="3"/>
      <c r="N671" s="3"/>
      <c r="O671" s="3"/>
    </row>
    <row r="672" ht="15.75" customHeight="1">
      <c r="A672" s="3"/>
      <c r="B672" s="3"/>
      <c r="C672" s="3"/>
      <c r="D672" s="3"/>
      <c r="E672" s="3"/>
      <c r="F672" s="3"/>
      <c r="I672" s="3"/>
      <c r="J672" s="3"/>
      <c r="K672" s="3"/>
      <c r="L672" s="3"/>
      <c r="M672" s="3"/>
      <c r="N672" s="3"/>
      <c r="O672" s="3"/>
    </row>
    <row r="673" ht="15.75" customHeight="1">
      <c r="A673" s="3"/>
      <c r="B673" s="3"/>
      <c r="C673" s="3"/>
      <c r="D673" s="3"/>
      <c r="E673" s="3"/>
      <c r="F673" s="3"/>
      <c r="I673" s="3"/>
      <c r="J673" s="3"/>
      <c r="K673" s="3"/>
      <c r="L673" s="3"/>
      <c r="M673" s="3"/>
      <c r="N673" s="3"/>
      <c r="O673" s="3"/>
    </row>
    <row r="674" ht="15.75" customHeight="1">
      <c r="A674" s="3"/>
      <c r="B674" s="3"/>
      <c r="C674" s="3"/>
      <c r="D674" s="3"/>
      <c r="E674" s="3"/>
      <c r="F674" s="3"/>
      <c r="I674" s="3"/>
      <c r="J674" s="3"/>
      <c r="K674" s="3"/>
      <c r="L674" s="3"/>
      <c r="M674" s="3"/>
      <c r="N674" s="3"/>
      <c r="O674" s="3"/>
    </row>
    <row r="675" ht="15.75" customHeight="1">
      <c r="A675" s="3"/>
      <c r="B675" s="3"/>
      <c r="C675" s="3"/>
      <c r="D675" s="3"/>
      <c r="E675" s="3"/>
      <c r="F675" s="3"/>
      <c r="I675" s="3"/>
      <c r="J675" s="3"/>
      <c r="K675" s="3"/>
      <c r="L675" s="3"/>
      <c r="M675" s="3"/>
      <c r="N675" s="3"/>
      <c r="O675" s="3"/>
    </row>
    <row r="676" ht="15.75" customHeight="1">
      <c r="A676" s="3"/>
      <c r="B676" s="3"/>
      <c r="C676" s="3"/>
      <c r="D676" s="3"/>
      <c r="E676" s="3"/>
      <c r="F676" s="3"/>
      <c r="I676" s="3"/>
      <c r="J676" s="3"/>
      <c r="K676" s="3"/>
      <c r="L676" s="3"/>
      <c r="M676" s="3"/>
      <c r="N676" s="3"/>
      <c r="O676" s="3"/>
    </row>
    <row r="677" ht="15.75" customHeight="1">
      <c r="A677" s="3"/>
      <c r="B677" s="3"/>
      <c r="C677" s="3"/>
      <c r="D677" s="3"/>
      <c r="E677" s="3"/>
      <c r="F677" s="3"/>
      <c r="I677" s="3"/>
      <c r="J677" s="3"/>
      <c r="K677" s="3"/>
      <c r="L677" s="3"/>
      <c r="M677" s="3"/>
      <c r="N677" s="3"/>
      <c r="O677" s="3"/>
    </row>
    <row r="678" ht="15.75" customHeight="1">
      <c r="A678" s="3"/>
      <c r="B678" s="3"/>
      <c r="C678" s="3"/>
      <c r="D678" s="3"/>
      <c r="E678" s="3"/>
      <c r="F678" s="3"/>
      <c r="I678" s="3"/>
      <c r="J678" s="3"/>
      <c r="K678" s="3"/>
      <c r="L678" s="3"/>
      <c r="M678" s="3"/>
      <c r="N678" s="3"/>
      <c r="O678" s="3"/>
    </row>
    <row r="679" ht="15.75" customHeight="1">
      <c r="A679" s="3"/>
      <c r="B679" s="3"/>
      <c r="C679" s="3"/>
      <c r="D679" s="3"/>
      <c r="E679" s="3"/>
      <c r="F679" s="3"/>
      <c r="I679" s="3"/>
      <c r="J679" s="3"/>
      <c r="K679" s="3"/>
      <c r="L679" s="3"/>
      <c r="M679" s="3"/>
      <c r="N679" s="3"/>
      <c r="O679" s="3"/>
    </row>
    <row r="680" ht="15.75" customHeight="1">
      <c r="A680" s="3"/>
      <c r="B680" s="3"/>
      <c r="C680" s="3"/>
      <c r="D680" s="3"/>
      <c r="E680" s="3"/>
      <c r="F680" s="3"/>
      <c r="I680" s="3"/>
      <c r="J680" s="3"/>
      <c r="K680" s="3"/>
      <c r="L680" s="3"/>
      <c r="M680" s="3"/>
      <c r="N680" s="3"/>
      <c r="O680" s="3"/>
    </row>
    <row r="681" ht="15.75" customHeight="1">
      <c r="A681" s="3"/>
      <c r="B681" s="3"/>
      <c r="C681" s="3"/>
      <c r="D681" s="3"/>
      <c r="E681" s="3"/>
      <c r="F681" s="3"/>
      <c r="I681" s="3"/>
      <c r="J681" s="3"/>
      <c r="K681" s="3"/>
      <c r="L681" s="3"/>
      <c r="M681" s="3"/>
      <c r="N681" s="3"/>
      <c r="O681" s="3"/>
    </row>
    <row r="682" ht="15.75" customHeight="1">
      <c r="A682" s="3"/>
      <c r="B682" s="3"/>
      <c r="C682" s="3"/>
      <c r="D682" s="3"/>
      <c r="E682" s="3"/>
      <c r="F682" s="3"/>
      <c r="I682" s="3"/>
      <c r="J682" s="3"/>
      <c r="K682" s="3"/>
      <c r="L682" s="3"/>
      <c r="M682" s="3"/>
      <c r="N682" s="3"/>
      <c r="O682" s="3"/>
    </row>
    <row r="683" ht="15.75" customHeight="1">
      <c r="A683" s="3"/>
      <c r="B683" s="3"/>
      <c r="C683" s="3"/>
      <c r="D683" s="3"/>
      <c r="E683" s="3"/>
      <c r="F683" s="3"/>
      <c r="I683" s="3"/>
      <c r="J683" s="3"/>
      <c r="K683" s="3"/>
      <c r="L683" s="3"/>
      <c r="M683" s="3"/>
      <c r="N683" s="3"/>
      <c r="O683" s="3"/>
    </row>
    <row r="684" ht="15.75" customHeight="1">
      <c r="A684" s="3"/>
      <c r="B684" s="3"/>
      <c r="C684" s="3"/>
      <c r="D684" s="3"/>
      <c r="E684" s="3"/>
      <c r="F684" s="3"/>
      <c r="I684" s="3"/>
      <c r="J684" s="3"/>
      <c r="K684" s="3"/>
      <c r="L684" s="3"/>
      <c r="M684" s="3"/>
      <c r="N684" s="3"/>
      <c r="O684" s="3"/>
    </row>
    <row r="685" ht="15.75" customHeight="1">
      <c r="A685" s="3"/>
      <c r="B685" s="3"/>
      <c r="C685" s="3"/>
      <c r="D685" s="3"/>
      <c r="E685" s="3"/>
      <c r="F685" s="3"/>
      <c r="I685" s="3"/>
      <c r="J685" s="3"/>
      <c r="K685" s="3"/>
      <c r="L685" s="3"/>
      <c r="M685" s="3"/>
      <c r="N685" s="3"/>
      <c r="O685" s="3"/>
    </row>
    <row r="686" ht="15.75" customHeight="1">
      <c r="A686" s="3"/>
      <c r="B686" s="3"/>
      <c r="C686" s="3"/>
      <c r="D686" s="3"/>
      <c r="E686" s="3"/>
      <c r="F686" s="3"/>
      <c r="I686" s="3"/>
      <c r="J686" s="3"/>
      <c r="K686" s="3"/>
      <c r="L686" s="3"/>
      <c r="M686" s="3"/>
      <c r="N686" s="3"/>
      <c r="O686" s="3"/>
    </row>
    <row r="687" ht="15.75" customHeight="1">
      <c r="A687" s="3"/>
      <c r="B687" s="3"/>
      <c r="C687" s="3"/>
      <c r="D687" s="3"/>
      <c r="E687" s="3"/>
      <c r="F687" s="3"/>
      <c r="I687" s="3"/>
      <c r="J687" s="3"/>
      <c r="K687" s="3"/>
      <c r="L687" s="3"/>
      <c r="M687" s="3"/>
      <c r="N687" s="3"/>
      <c r="O687" s="3"/>
    </row>
    <row r="688" ht="15.75" customHeight="1">
      <c r="A688" s="3"/>
      <c r="B688" s="3"/>
      <c r="C688" s="3"/>
      <c r="D688" s="3"/>
      <c r="E688" s="3"/>
      <c r="F688" s="3"/>
      <c r="I688" s="3"/>
      <c r="J688" s="3"/>
      <c r="K688" s="3"/>
      <c r="L688" s="3"/>
      <c r="M688" s="3"/>
      <c r="N688" s="3"/>
      <c r="O688" s="3"/>
    </row>
    <row r="689" ht="15.75" customHeight="1">
      <c r="A689" s="3"/>
      <c r="B689" s="3"/>
      <c r="C689" s="3"/>
      <c r="D689" s="3"/>
      <c r="E689" s="3"/>
      <c r="F689" s="3"/>
      <c r="I689" s="3"/>
      <c r="J689" s="3"/>
      <c r="K689" s="3"/>
      <c r="L689" s="3"/>
      <c r="M689" s="3"/>
      <c r="N689" s="3"/>
      <c r="O689" s="3"/>
    </row>
    <row r="690" ht="15.75" customHeight="1">
      <c r="A690" s="3"/>
      <c r="B690" s="3"/>
      <c r="C690" s="3"/>
      <c r="D690" s="3"/>
      <c r="E690" s="3"/>
      <c r="F690" s="3"/>
      <c r="I690" s="3"/>
      <c r="J690" s="3"/>
      <c r="K690" s="3"/>
      <c r="L690" s="3"/>
      <c r="M690" s="3"/>
      <c r="N690" s="3"/>
      <c r="O690" s="3"/>
    </row>
    <row r="691" ht="15.75" customHeight="1">
      <c r="A691" s="3"/>
      <c r="B691" s="3"/>
      <c r="C691" s="3"/>
      <c r="D691" s="3"/>
      <c r="E691" s="3"/>
      <c r="F691" s="3"/>
      <c r="I691" s="3"/>
      <c r="J691" s="3"/>
      <c r="K691" s="3"/>
      <c r="L691" s="3"/>
      <c r="M691" s="3"/>
      <c r="N691" s="3"/>
      <c r="O691" s="3"/>
    </row>
    <row r="692" ht="15.75" customHeight="1">
      <c r="A692" s="3"/>
      <c r="B692" s="3"/>
      <c r="C692" s="3"/>
      <c r="D692" s="3"/>
      <c r="E692" s="3"/>
      <c r="F692" s="3"/>
      <c r="I692" s="3"/>
      <c r="J692" s="3"/>
      <c r="K692" s="3"/>
      <c r="L692" s="3"/>
      <c r="M692" s="3"/>
      <c r="N692" s="3"/>
      <c r="O692" s="3"/>
    </row>
    <row r="693" ht="15.75" customHeight="1">
      <c r="A693" s="3"/>
      <c r="B693" s="3"/>
      <c r="C693" s="3"/>
      <c r="D693" s="3"/>
      <c r="E693" s="3"/>
      <c r="F693" s="3"/>
      <c r="I693" s="3"/>
      <c r="J693" s="3"/>
      <c r="K693" s="3"/>
      <c r="L693" s="3"/>
      <c r="M693" s="3"/>
      <c r="N693" s="3"/>
      <c r="O693" s="3"/>
    </row>
    <row r="694" ht="15.75" customHeight="1">
      <c r="A694" s="3"/>
      <c r="B694" s="3"/>
      <c r="C694" s="3"/>
      <c r="D694" s="3"/>
      <c r="E694" s="3"/>
      <c r="F694" s="3"/>
      <c r="I694" s="3"/>
      <c r="J694" s="3"/>
      <c r="K694" s="3"/>
      <c r="L694" s="3"/>
      <c r="M694" s="3"/>
      <c r="N694" s="3"/>
      <c r="O694" s="3"/>
    </row>
    <row r="695" ht="15.75" customHeight="1">
      <c r="A695" s="3"/>
      <c r="B695" s="3"/>
      <c r="C695" s="3"/>
      <c r="D695" s="3"/>
      <c r="E695" s="3"/>
      <c r="F695" s="3"/>
      <c r="I695" s="3"/>
      <c r="J695" s="3"/>
      <c r="K695" s="3"/>
      <c r="L695" s="3"/>
      <c r="M695" s="3"/>
      <c r="N695" s="3"/>
      <c r="O695" s="3"/>
    </row>
    <row r="696" ht="15.75" customHeight="1">
      <c r="A696" s="3"/>
      <c r="B696" s="3"/>
      <c r="C696" s="3"/>
      <c r="D696" s="3"/>
      <c r="E696" s="3"/>
      <c r="F696" s="3"/>
      <c r="I696" s="3"/>
      <c r="J696" s="3"/>
      <c r="K696" s="3"/>
      <c r="L696" s="3"/>
      <c r="M696" s="3"/>
      <c r="N696" s="3"/>
      <c r="O696" s="3"/>
    </row>
    <row r="697" ht="15.75" customHeight="1">
      <c r="A697" s="3"/>
      <c r="B697" s="3"/>
      <c r="C697" s="3"/>
      <c r="D697" s="3"/>
      <c r="E697" s="3"/>
      <c r="F697" s="3"/>
      <c r="I697" s="3"/>
      <c r="J697" s="3"/>
      <c r="K697" s="3"/>
      <c r="L697" s="3"/>
      <c r="M697" s="3"/>
      <c r="N697" s="3"/>
      <c r="O697" s="3"/>
    </row>
    <row r="698" ht="15.75" customHeight="1">
      <c r="A698" s="3"/>
      <c r="B698" s="3"/>
      <c r="C698" s="3"/>
      <c r="D698" s="3"/>
      <c r="E698" s="3"/>
      <c r="F698" s="3"/>
      <c r="I698" s="3"/>
      <c r="J698" s="3"/>
      <c r="K698" s="3"/>
      <c r="L698" s="3"/>
      <c r="M698" s="3"/>
      <c r="N698" s="3"/>
      <c r="O698" s="3"/>
    </row>
    <row r="699" ht="15.75" customHeight="1">
      <c r="A699" s="3"/>
      <c r="B699" s="3"/>
      <c r="C699" s="3"/>
      <c r="D699" s="3"/>
      <c r="E699" s="3"/>
      <c r="F699" s="3"/>
      <c r="I699" s="3"/>
      <c r="J699" s="3"/>
      <c r="K699" s="3"/>
      <c r="L699" s="3"/>
      <c r="M699" s="3"/>
      <c r="N699" s="3"/>
      <c r="O699" s="3"/>
    </row>
    <row r="700" ht="15.75" customHeight="1">
      <c r="A700" s="3"/>
      <c r="B700" s="3"/>
      <c r="C700" s="3"/>
      <c r="D700" s="3"/>
      <c r="E700" s="3"/>
      <c r="F700" s="3"/>
      <c r="I700" s="3"/>
      <c r="J700" s="3"/>
      <c r="K700" s="3"/>
      <c r="L700" s="3"/>
      <c r="M700" s="3"/>
      <c r="N700" s="3"/>
      <c r="O700" s="3"/>
    </row>
    <row r="701" ht="15.75" customHeight="1">
      <c r="A701" s="3"/>
      <c r="B701" s="3"/>
      <c r="C701" s="3"/>
      <c r="D701" s="3"/>
      <c r="E701" s="3"/>
      <c r="F701" s="3"/>
      <c r="I701" s="3"/>
      <c r="J701" s="3"/>
      <c r="K701" s="3"/>
      <c r="L701" s="3"/>
      <c r="M701" s="3"/>
      <c r="N701" s="3"/>
      <c r="O701" s="3"/>
    </row>
    <row r="702" ht="15.75" customHeight="1">
      <c r="A702" s="3"/>
      <c r="B702" s="3"/>
      <c r="C702" s="3"/>
      <c r="D702" s="3"/>
      <c r="E702" s="3"/>
      <c r="F702" s="3"/>
      <c r="I702" s="3"/>
      <c r="J702" s="3"/>
      <c r="K702" s="3"/>
      <c r="L702" s="3"/>
      <c r="M702" s="3"/>
      <c r="N702" s="3"/>
      <c r="O702" s="3"/>
    </row>
    <row r="703" ht="15.75" customHeight="1">
      <c r="A703" s="3"/>
      <c r="B703" s="3"/>
      <c r="C703" s="3"/>
      <c r="D703" s="3"/>
      <c r="E703" s="3"/>
      <c r="F703" s="3"/>
      <c r="I703" s="3"/>
      <c r="J703" s="3"/>
      <c r="K703" s="3"/>
      <c r="L703" s="3"/>
      <c r="M703" s="3"/>
      <c r="N703" s="3"/>
      <c r="O703" s="3"/>
    </row>
    <row r="704" ht="15.75" customHeight="1">
      <c r="A704" s="3"/>
      <c r="B704" s="3"/>
      <c r="C704" s="3"/>
      <c r="D704" s="3"/>
      <c r="E704" s="3"/>
      <c r="F704" s="3"/>
      <c r="I704" s="3"/>
      <c r="J704" s="3"/>
      <c r="K704" s="3"/>
      <c r="L704" s="3"/>
      <c r="M704" s="3"/>
      <c r="N704" s="3"/>
      <c r="O704" s="3"/>
    </row>
    <row r="705" ht="15.75" customHeight="1">
      <c r="A705" s="3"/>
      <c r="B705" s="3"/>
      <c r="C705" s="3"/>
      <c r="D705" s="3"/>
      <c r="E705" s="3"/>
      <c r="F705" s="3"/>
      <c r="I705" s="3"/>
      <c r="J705" s="3"/>
      <c r="K705" s="3"/>
      <c r="L705" s="3"/>
      <c r="M705" s="3"/>
      <c r="N705" s="3"/>
      <c r="O705" s="3"/>
    </row>
    <row r="706" ht="15.75" customHeight="1">
      <c r="A706" s="3"/>
      <c r="B706" s="3"/>
      <c r="C706" s="3"/>
      <c r="D706" s="3"/>
      <c r="E706" s="3"/>
      <c r="F706" s="3"/>
      <c r="I706" s="3"/>
      <c r="J706" s="3"/>
      <c r="K706" s="3"/>
      <c r="L706" s="3"/>
      <c r="M706" s="3"/>
      <c r="N706" s="3"/>
      <c r="O706" s="3"/>
    </row>
    <row r="707" ht="15.75" customHeight="1">
      <c r="A707" s="3"/>
      <c r="B707" s="3"/>
      <c r="C707" s="3"/>
      <c r="D707" s="3"/>
      <c r="E707" s="3"/>
      <c r="F707" s="3"/>
      <c r="I707" s="3"/>
      <c r="J707" s="3"/>
      <c r="K707" s="3"/>
      <c r="L707" s="3"/>
      <c r="M707" s="3"/>
      <c r="N707" s="3"/>
      <c r="O707" s="3"/>
    </row>
    <row r="708" ht="15.75" customHeight="1">
      <c r="A708" s="3"/>
      <c r="B708" s="3"/>
      <c r="C708" s="3"/>
      <c r="D708" s="3"/>
      <c r="E708" s="3"/>
      <c r="F708" s="3"/>
      <c r="I708" s="3"/>
      <c r="J708" s="3"/>
      <c r="K708" s="3"/>
      <c r="L708" s="3"/>
      <c r="M708" s="3"/>
      <c r="N708" s="3"/>
      <c r="O708" s="3"/>
    </row>
    <row r="709" ht="15.75" customHeight="1">
      <c r="A709" s="3"/>
      <c r="B709" s="3"/>
      <c r="C709" s="3"/>
      <c r="D709" s="3"/>
      <c r="E709" s="3"/>
      <c r="F709" s="3"/>
      <c r="I709" s="3"/>
      <c r="J709" s="3"/>
      <c r="K709" s="3"/>
      <c r="L709" s="3"/>
      <c r="M709" s="3"/>
      <c r="N709" s="3"/>
      <c r="O709" s="3"/>
    </row>
    <row r="710" ht="15.75" customHeight="1">
      <c r="A710" s="3"/>
      <c r="B710" s="3"/>
      <c r="C710" s="3"/>
      <c r="D710" s="3"/>
      <c r="E710" s="3"/>
      <c r="F710" s="3"/>
      <c r="I710" s="3"/>
      <c r="J710" s="3"/>
      <c r="K710" s="3"/>
      <c r="L710" s="3"/>
      <c r="M710" s="3"/>
      <c r="N710" s="3"/>
      <c r="O710" s="3"/>
    </row>
    <row r="711" ht="15.75" customHeight="1">
      <c r="A711" s="3"/>
      <c r="B711" s="3"/>
      <c r="C711" s="3"/>
      <c r="D711" s="3"/>
      <c r="E711" s="3"/>
      <c r="F711" s="3"/>
      <c r="I711" s="3"/>
      <c r="J711" s="3"/>
      <c r="K711" s="3"/>
      <c r="L711" s="3"/>
      <c r="M711" s="3"/>
      <c r="N711" s="3"/>
      <c r="O711" s="3"/>
    </row>
    <row r="712" ht="15.75" customHeight="1">
      <c r="A712" s="3"/>
      <c r="B712" s="3"/>
      <c r="C712" s="3"/>
      <c r="D712" s="3"/>
      <c r="E712" s="3"/>
      <c r="F712" s="3"/>
      <c r="I712" s="3"/>
      <c r="J712" s="3"/>
      <c r="K712" s="3"/>
      <c r="L712" s="3"/>
      <c r="M712" s="3"/>
      <c r="N712" s="3"/>
      <c r="O712" s="3"/>
    </row>
    <row r="713" ht="15.75" customHeight="1">
      <c r="A713" s="3"/>
      <c r="B713" s="3"/>
      <c r="C713" s="3"/>
      <c r="D713" s="3"/>
      <c r="E713" s="3"/>
      <c r="F713" s="3"/>
      <c r="I713" s="3"/>
      <c r="J713" s="3"/>
      <c r="K713" s="3"/>
      <c r="L713" s="3"/>
      <c r="M713" s="3"/>
      <c r="N713" s="3"/>
      <c r="O713" s="3"/>
    </row>
    <row r="714" ht="15.75" customHeight="1">
      <c r="A714" s="3"/>
      <c r="B714" s="3"/>
      <c r="C714" s="3"/>
      <c r="D714" s="3"/>
      <c r="E714" s="3"/>
      <c r="F714" s="3"/>
      <c r="I714" s="3"/>
      <c r="J714" s="3"/>
      <c r="K714" s="3"/>
      <c r="L714" s="3"/>
      <c r="M714" s="3"/>
      <c r="N714" s="3"/>
      <c r="O714" s="3"/>
    </row>
    <row r="715" ht="15.75" customHeight="1">
      <c r="A715" s="3"/>
      <c r="B715" s="3"/>
      <c r="C715" s="3"/>
      <c r="D715" s="3"/>
      <c r="E715" s="3"/>
      <c r="F715" s="3"/>
      <c r="I715" s="3"/>
      <c r="J715" s="3"/>
      <c r="K715" s="3"/>
      <c r="L715" s="3"/>
      <c r="M715" s="3"/>
      <c r="N715" s="3"/>
      <c r="O715" s="3"/>
    </row>
    <row r="716" ht="15.75" customHeight="1">
      <c r="A716" s="3"/>
      <c r="B716" s="3"/>
      <c r="C716" s="3"/>
      <c r="D716" s="3"/>
      <c r="E716" s="3"/>
      <c r="F716" s="3"/>
      <c r="I716" s="3"/>
      <c r="J716" s="3"/>
      <c r="K716" s="3"/>
      <c r="L716" s="3"/>
      <c r="M716" s="3"/>
      <c r="N716" s="3"/>
      <c r="O716" s="3"/>
    </row>
    <row r="717" ht="15.75" customHeight="1">
      <c r="A717" s="3"/>
      <c r="B717" s="3"/>
      <c r="C717" s="3"/>
      <c r="D717" s="3"/>
      <c r="E717" s="3"/>
      <c r="F717" s="3"/>
      <c r="I717" s="3"/>
      <c r="J717" s="3"/>
      <c r="K717" s="3"/>
      <c r="L717" s="3"/>
      <c r="M717" s="3"/>
      <c r="N717" s="3"/>
      <c r="O717" s="3"/>
    </row>
    <row r="718" ht="15.75" customHeight="1">
      <c r="A718" s="3"/>
      <c r="B718" s="3"/>
      <c r="C718" s="3"/>
      <c r="D718" s="3"/>
      <c r="E718" s="3"/>
      <c r="F718" s="3"/>
      <c r="I718" s="3"/>
      <c r="J718" s="3"/>
      <c r="K718" s="3"/>
      <c r="L718" s="3"/>
      <c r="M718" s="3"/>
      <c r="N718" s="3"/>
      <c r="O718" s="3"/>
    </row>
    <row r="719" ht="15.75" customHeight="1">
      <c r="A719" s="3"/>
      <c r="B719" s="3"/>
      <c r="C719" s="3"/>
      <c r="D719" s="3"/>
      <c r="E719" s="3"/>
      <c r="F719" s="3"/>
      <c r="I719" s="3"/>
      <c r="J719" s="3"/>
      <c r="K719" s="3"/>
      <c r="L719" s="3"/>
      <c r="M719" s="3"/>
      <c r="N719" s="3"/>
      <c r="O719" s="3"/>
    </row>
    <row r="720" ht="15.75" customHeight="1">
      <c r="A720" s="3"/>
      <c r="B720" s="3"/>
      <c r="C720" s="3"/>
      <c r="D720" s="3"/>
      <c r="E720" s="3"/>
      <c r="F720" s="3"/>
      <c r="I720" s="3"/>
      <c r="J720" s="3"/>
      <c r="K720" s="3"/>
      <c r="L720" s="3"/>
      <c r="M720" s="3"/>
      <c r="N720" s="3"/>
      <c r="O720" s="3"/>
    </row>
    <row r="721" ht="15.75" customHeight="1">
      <c r="A721" s="3"/>
      <c r="B721" s="3"/>
      <c r="C721" s="3"/>
      <c r="D721" s="3"/>
      <c r="E721" s="3"/>
      <c r="F721" s="3"/>
      <c r="I721" s="3"/>
      <c r="J721" s="3"/>
      <c r="K721" s="3"/>
      <c r="L721" s="3"/>
      <c r="M721" s="3"/>
      <c r="N721" s="3"/>
      <c r="O721" s="3"/>
    </row>
    <row r="722" ht="15.75" customHeight="1">
      <c r="A722" s="3"/>
      <c r="B722" s="3"/>
      <c r="C722" s="3"/>
      <c r="D722" s="3"/>
      <c r="E722" s="3"/>
      <c r="F722" s="3"/>
      <c r="I722" s="3"/>
      <c r="J722" s="3"/>
      <c r="K722" s="3"/>
      <c r="L722" s="3"/>
      <c r="M722" s="3"/>
      <c r="N722" s="3"/>
      <c r="O722" s="3"/>
    </row>
    <row r="723" ht="15.75" customHeight="1">
      <c r="A723" s="3"/>
      <c r="B723" s="3"/>
      <c r="C723" s="3"/>
      <c r="D723" s="3"/>
      <c r="E723" s="3"/>
      <c r="F723" s="3"/>
      <c r="I723" s="3"/>
      <c r="J723" s="3"/>
      <c r="K723" s="3"/>
      <c r="L723" s="3"/>
      <c r="M723" s="3"/>
      <c r="N723" s="3"/>
      <c r="O723" s="3"/>
    </row>
    <row r="724" ht="15.75" customHeight="1">
      <c r="A724" s="3"/>
      <c r="B724" s="3"/>
      <c r="C724" s="3"/>
      <c r="D724" s="3"/>
      <c r="E724" s="3"/>
      <c r="F724" s="3"/>
      <c r="I724" s="3"/>
      <c r="J724" s="3"/>
      <c r="K724" s="3"/>
      <c r="L724" s="3"/>
      <c r="M724" s="3"/>
      <c r="N724" s="3"/>
      <c r="O724" s="3"/>
    </row>
    <row r="725" ht="15.75" customHeight="1">
      <c r="A725" s="3"/>
      <c r="B725" s="3"/>
      <c r="C725" s="3"/>
      <c r="D725" s="3"/>
      <c r="E725" s="3"/>
      <c r="F725" s="3"/>
      <c r="I725" s="3"/>
      <c r="J725" s="3"/>
      <c r="K725" s="3"/>
      <c r="L725" s="3"/>
      <c r="M725" s="3"/>
      <c r="N725" s="3"/>
      <c r="O725" s="3"/>
    </row>
    <row r="726" ht="15.75" customHeight="1">
      <c r="A726" s="3"/>
      <c r="B726" s="3"/>
      <c r="C726" s="3"/>
      <c r="D726" s="3"/>
      <c r="E726" s="3"/>
      <c r="F726" s="3"/>
      <c r="I726" s="3"/>
      <c r="J726" s="3"/>
      <c r="K726" s="3"/>
      <c r="L726" s="3"/>
      <c r="M726" s="3"/>
      <c r="N726" s="3"/>
      <c r="O726" s="3"/>
    </row>
    <row r="727" ht="15.75" customHeight="1">
      <c r="A727" s="3"/>
      <c r="B727" s="3"/>
      <c r="C727" s="3"/>
      <c r="D727" s="3"/>
      <c r="E727" s="3"/>
      <c r="F727" s="3"/>
      <c r="I727" s="3"/>
      <c r="J727" s="3"/>
      <c r="K727" s="3"/>
      <c r="L727" s="3"/>
      <c r="M727" s="3"/>
      <c r="N727" s="3"/>
      <c r="O727" s="3"/>
    </row>
    <row r="728" ht="15.75" customHeight="1">
      <c r="A728" s="3"/>
      <c r="B728" s="3"/>
      <c r="C728" s="3"/>
      <c r="D728" s="3"/>
      <c r="E728" s="3"/>
      <c r="F728" s="3"/>
      <c r="I728" s="3"/>
      <c r="J728" s="3"/>
      <c r="K728" s="3"/>
      <c r="L728" s="3"/>
      <c r="M728" s="3"/>
      <c r="N728" s="3"/>
      <c r="O728" s="3"/>
    </row>
    <row r="729" ht="15.75" customHeight="1">
      <c r="A729" s="3"/>
      <c r="B729" s="3"/>
      <c r="C729" s="3"/>
      <c r="D729" s="3"/>
      <c r="E729" s="3"/>
      <c r="F729" s="3"/>
      <c r="I729" s="3"/>
      <c r="J729" s="3"/>
      <c r="K729" s="3"/>
      <c r="L729" s="3"/>
      <c r="M729" s="3"/>
      <c r="N729" s="3"/>
      <c r="O729" s="3"/>
    </row>
    <row r="730" ht="15.75" customHeight="1">
      <c r="A730" s="3"/>
      <c r="B730" s="3"/>
      <c r="C730" s="3"/>
      <c r="D730" s="3"/>
      <c r="E730" s="3"/>
      <c r="F730" s="3"/>
      <c r="I730" s="3"/>
      <c r="J730" s="3"/>
      <c r="K730" s="3"/>
      <c r="L730" s="3"/>
      <c r="M730" s="3"/>
      <c r="N730" s="3"/>
      <c r="O730" s="3"/>
    </row>
    <row r="731" ht="15.75" customHeight="1">
      <c r="A731" s="3"/>
      <c r="B731" s="3"/>
      <c r="C731" s="3"/>
      <c r="D731" s="3"/>
      <c r="E731" s="3"/>
      <c r="F731" s="3"/>
      <c r="I731" s="3"/>
      <c r="J731" s="3"/>
      <c r="K731" s="3"/>
      <c r="L731" s="3"/>
      <c r="M731" s="3"/>
      <c r="N731" s="3"/>
      <c r="O731" s="3"/>
    </row>
    <row r="732" ht="15.75" customHeight="1">
      <c r="A732" s="3"/>
      <c r="B732" s="3"/>
      <c r="C732" s="3"/>
      <c r="D732" s="3"/>
      <c r="E732" s="3"/>
      <c r="F732" s="3"/>
      <c r="I732" s="3"/>
      <c r="J732" s="3"/>
      <c r="K732" s="3"/>
      <c r="L732" s="3"/>
      <c r="M732" s="3"/>
      <c r="N732" s="3"/>
      <c r="O732" s="3"/>
    </row>
    <row r="733" ht="15.75" customHeight="1">
      <c r="A733" s="3"/>
      <c r="B733" s="3"/>
      <c r="C733" s="3"/>
      <c r="D733" s="3"/>
      <c r="E733" s="3"/>
      <c r="F733" s="3"/>
      <c r="I733" s="3"/>
      <c r="J733" s="3"/>
      <c r="K733" s="3"/>
      <c r="L733" s="3"/>
      <c r="M733" s="3"/>
      <c r="N733" s="3"/>
      <c r="O733" s="3"/>
    </row>
    <row r="734" ht="15.75" customHeight="1">
      <c r="A734" s="3"/>
      <c r="B734" s="3"/>
      <c r="C734" s="3"/>
      <c r="D734" s="3"/>
      <c r="E734" s="3"/>
      <c r="F734" s="3"/>
      <c r="I734" s="3"/>
      <c r="J734" s="3"/>
      <c r="K734" s="3"/>
      <c r="L734" s="3"/>
      <c r="M734" s="3"/>
      <c r="N734" s="3"/>
      <c r="O734" s="3"/>
    </row>
    <row r="735" ht="15.75" customHeight="1">
      <c r="A735" s="3"/>
      <c r="B735" s="3"/>
      <c r="C735" s="3"/>
      <c r="D735" s="3"/>
      <c r="E735" s="3"/>
      <c r="F735" s="3"/>
      <c r="I735" s="3"/>
      <c r="J735" s="3"/>
      <c r="K735" s="3"/>
      <c r="L735" s="3"/>
      <c r="M735" s="3"/>
      <c r="N735" s="3"/>
      <c r="O735" s="3"/>
    </row>
    <row r="736" ht="15.75" customHeight="1">
      <c r="A736" s="3"/>
      <c r="B736" s="3"/>
      <c r="C736" s="3"/>
      <c r="D736" s="3"/>
      <c r="E736" s="3"/>
      <c r="F736" s="3"/>
      <c r="I736" s="3"/>
      <c r="J736" s="3"/>
      <c r="K736" s="3"/>
      <c r="L736" s="3"/>
      <c r="M736" s="3"/>
      <c r="N736" s="3"/>
      <c r="O736" s="3"/>
    </row>
    <row r="737" ht="15.75" customHeight="1">
      <c r="A737" s="3"/>
      <c r="B737" s="3"/>
      <c r="C737" s="3"/>
      <c r="D737" s="3"/>
      <c r="E737" s="3"/>
      <c r="F737" s="3"/>
      <c r="I737" s="3"/>
      <c r="J737" s="3"/>
      <c r="K737" s="3"/>
      <c r="L737" s="3"/>
      <c r="M737" s="3"/>
      <c r="N737" s="3"/>
      <c r="O737" s="3"/>
    </row>
    <row r="738" ht="15.75" customHeight="1">
      <c r="A738" s="3"/>
      <c r="B738" s="3"/>
      <c r="C738" s="3"/>
      <c r="D738" s="3"/>
      <c r="E738" s="3"/>
      <c r="F738" s="3"/>
      <c r="I738" s="3"/>
      <c r="J738" s="3"/>
      <c r="K738" s="3"/>
      <c r="L738" s="3"/>
      <c r="M738" s="3"/>
      <c r="N738" s="3"/>
      <c r="O738" s="3"/>
    </row>
    <row r="739" ht="15.75" customHeight="1">
      <c r="A739" s="3"/>
      <c r="B739" s="3"/>
      <c r="C739" s="3"/>
      <c r="D739" s="3"/>
      <c r="E739" s="3"/>
      <c r="F739" s="3"/>
      <c r="I739" s="3"/>
      <c r="J739" s="3"/>
      <c r="K739" s="3"/>
      <c r="L739" s="3"/>
      <c r="M739" s="3"/>
      <c r="N739" s="3"/>
      <c r="O739" s="3"/>
    </row>
    <row r="740" ht="15.75" customHeight="1">
      <c r="A740" s="3"/>
      <c r="B740" s="3"/>
      <c r="C740" s="3"/>
      <c r="D740" s="3"/>
      <c r="E740" s="3"/>
      <c r="F740" s="3"/>
      <c r="I740" s="3"/>
      <c r="J740" s="3"/>
      <c r="K740" s="3"/>
      <c r="L740" s="3"/>
      <c r="M740" s="3"/>
      <c r="N740" s="3"/>
      <c r="O740" s="3"/>
    </row>
    <row r="741" ht="15.75" customHeight="1">
      <c r="A741" s="3"/>
      <c r="B741" s="3"/>
      <c r="C741" s="3"/>
      <c r="D741" s="3"/>
      <c r="E741" s="3"/>
      <c r="F741" s="3"/>
      <c r="I741" s="3"/>
      <c r="J741" s="3"/>
      <c r="K741" s="3"/>
      <c r="L741" s="3"/>
      <c r="M741" s="3"/>
      <c r="N741" s="3"/>
      <c r="O741" s="3"/>
    </row>
    <row r="742" ht="15.75" customHeight="1">
      <c r="A742" s="3"/>
      <c r="B742" s="3"/>
      <c r="C742" s="3"/>
      <c r="D742" s="3"/>
      <c r="E742" s="3"/>
      <c r="F742" s="3"/>
      <c r="I742" s="3"/>
      <c r="J742" s="3"/>
      <c r="K742" s="3"/>
      <c r="L742" s="3"/>
      <c r="M742" s="3"/>
      <c r="N742" s="3"/>
      <c r="O742" s="3"/>
    </row>
    <row r="743" ht="15.75" customHeight="1">
      <c r="A743" s="3"/>
      <c r="B743" s="3"/>
      <c r="C743" s="3"/>
      <c r="D743" s="3"/>
      <c r="E743" s="3"/>
      <c r="F743" s="3"/>
      <c r="I743" s="3"/>
      <c r="J743" s="3"/>
      <c r="K743" s="3"/>
      <c r="L743" s="3"/>
      <c r="M743" s="3"/>
      <c r="N743" s="3"/>
      <c r="O743" s="3"/>
    </row>
    <row r="744" ht="15.75" customHeight="1">
      <c r="A744" s="3"/>
      <c r="B744" s="3"/>
      <c r="C744" s="3"/>
      <c r="D744" s="3"/>
      <c r="E744" s="3"/>
      <c r="F744" s="3"/>
      <c r="I744" s="3"/>
      <c r="J744" s="3"/>
      <c r="K744" s="3"/>
      <c r="L744" s="3"/>
      <c r="M744" s="3"/>
      <c r="N744" s="3"/>
      <c r="O744" s="3"/>
    </row>
    <row r="745" ht="15.75" customHeight="1">
      <c r="A745" s="3"/>
      <c r="B745" s="3"/>
      <c r="C745" s="3"/>
      <c r="D745" s="3"/>
      <c r="E745" s="3"/>
      <c r="F745" s="3"/>
      <c r="I745" s="3"/>
      <c r="J745" s="3"/>
      <c r="K745" s="3"/>
      <c r="L745" s="3"/>
      <c r="M745" s="3"/>
      <c r="N745" s="3"/>
      <c r="O745" s="3"/>
    </row>
    <row r="746" ht="15.75" customHeight="1">
      <c r="A746" s="3"/>
      <c r="B746" s="3"/>
      <c r="C746" s="3"/>
      <c r="D746" s="3"/>
      <c r="E746" s="3"/>
      <c r="F746" s="3"/>
      <c r="I746" s="3"/>
      <c r="J746" s="3"/>
      <c r="K746" s="3"/>
      <c r="L746" s="3"/>
      <c r="M746" s="3"/>
      <c r="N746" s="3"/>
      <c r="O746" s="3"/>
    </row>
    <row r="747" ht="15.75" customHeight="1">
      <c r="A747" s="3"/>
      <c r="B747" s="3"/>
      <c r="C747" s="3"/>
      <c r="D747" s="3"/>
      <c r="E747" s="3"/>
      <c r="F747" s="3"/>
      <c r="I747" s="3"/>
      <c r="J747" s="3"/>
      <c r="K747" s="3"/>
      <c r="L747" s="3"/>
      <c r="M747" s="3"/>
      <c r="N747" s="3"/>
      <c r="O747" s="3"/>
    </row>
    <row r="748" ht="15.75" customHeight="1">
      <c r="A748" s="3"/>
      <c r="B748" s="3"/>
      <c r="C748" s="3"/>
      <c r="D748" s="3"/>
      <c r="E748" s="3"/>
      <c r="F748" s="3"/>
      <c r="I748" s="3"/>
      <c r="J748" s="3"/>
      <c r="K748" s="3"/>
      <c r="L748" s="3"/>
      <c r="M748" s="3"/>
      <c r="N748" s="3"/>
      <c r="O748" s="3"/>
    </row>
    <row r="749" ht="15.75" customHeight="1">
      <c r="A749" s="3"/>
      <c r="B749" s="3"/>
      <c r="C749" s="3"/>
      <c r="D749" s="3"/>
      <c r="E749" s="3"/>
      <c r="F749" s="3"/>
      <c r="I749" s="3"/>
      <c r="J749" s="3"/>
      <c r="K749" s="3"/>
      <c r="L749" s="3"/>
      <c r="M749" s="3"/>
      <c r="N749" s="3"/>
      <c r="O749" s="3"/>
    </row>
    <row r="750" ht="15.75" customHeight="1">
      <c r="A750" s="3"/>
      <c r="B750" s="3"/>
      <c r="C750" s="3"/>
      <c r="D750" s="3"/>
      <c r="E750" s="3"/>
      <c r="F750" s="3"/>
      <c r="I750" s="3"/>
      <c r="J750" s="3"/>
      <c r="K750" s="3"/>
      <c r="L750" s="3"/>
      <c r="M750" s="3"/>
      <c r="N750" s="3"/>
      <c r="O750" s="3"/>
    </row>
    <row r="751" ht="15.75" customHeight="1">
      <c r="A751" s="3"/>
      <c r="B751" s="3"/>
      <c r="C751" s="3"/>
      <c r="D751" s="3"/>
      <c r="E751" s="3"/>
      <c r="F751" s="3"/>
      <c r="I751" s="3"/>
      <c r="J751" s="3"/>
      <c r="K751" s="3"/>
      <c r="L751" s="3"/>
      <c r="M751" s="3"/>
      <c r="N751" s="3"/>
      <c r="O751" s="3"/>
    </row>
    <row r="752" ht="15.75" customHeight="1">
      <c r="A752" s="3"/>
      <c r="B752" s="3"/>
      <c r="C752" s="3"/>
      <c r="D752" s="3"/>
      <c r="E752" s="3"/>
      <c r="F752" s="3"/>
      <c r="I752" s="3"/>
      <c r="J752" s="3"/>
      <c r="K752" s="3"/>
      <c r="L752" s="3"/>
      <c r="M752" s="3"/>
      <c r="N752" s="3"/>
      <c r="O752" s="3"/>
    </row>
    <row r="753" ht="15.75" customHeight="1">
      <c r="A753" s="3"/>
      <c r="B753" s="3"/>
      <c r="C753" s="3"/>
      <c r="D753" s="3"/>
      <c r="E753" s="3"/>
      <c r="F753" s="3"/>
      <c r="I753" s="3"/>
      <c r="J753" s="3"/>
      <c r="K753" s="3"/>
      <c r="L753" s="3"/>
      <c r="M753" s="3"/>
      <c r="N753" s="3"/>
      <c r="O753" s="3"/>
    </row>
    <row r="754" ht="15.75" customHeight="1">
      <c r="A754" s="3"/>
      <c r="B754" s="3"/>
      <c r="C754" s="3"/>
      <c r="D754" s="3"/>
      <c r="E754" s="3"/>
      <c r="F754" s="3"/>
      <c r="I754" s="3"/>
      <c r="J754" s="3"/>
      <c r="K754" s="3"/>
      <c r="L754" s="3"/>
      <c r="M754" s="3"/>
      <c r="N754" s="3"/>
      <c r="O754" s="3"/>
    </row>
    <row r="755" ht="15.75" customHeight="1">
      <c r="A755" s="3"/>
      <c r="B755" s="3"/>
      <c r="C755" s="3"/>
      <c r="D755" s="3"/>
      <c r="E755" s="3"/>
      <c r="F755" s="3"/>
      <c r="I755" s="3"/>
      <c r="J755" s="3"/>
      <c r="K755" s="3"/>
      <c r="L755" s="3"/>
      <c r="M755" s="3"/>
      <c r="N755" s="3"/>
      <c r="O755" s="3"/>
    </row>
    <row r="756" ht="15.75" customHeight="1">
      <c r="A756" s="3"/>
      <c r="B756" s="3"/>
      <c r="C756" s="3"/>
      <c r="D756" s="3"/>
      <c r="E756" s="3"/>
      <c r="F756" s="3"/>
      <c r="I756" s="3"/>
      <c r="J756" s="3"/>
      <c r="K756" s="3"/>
      <c r="L756" s="3"/>
      <c r="M756" s="3"/>
      <c r="N756" s="3"/>
      <c r="O756" s="3"/>
    </row>
    <row r="757" ht="15.75" customHeight="1">
      <c r="A757" s="3"/>
      <c r="B757" s="3"/>
      <c r="C757" s="3"/>
      <c r="D757" s="3"/>
      <c r="E757" s="3"/>
      <c r="F757" s="3"/>
      <c r="I757" s="3"/>
      <c r="J757" s="3"/>
      <c r="K757" s="3"/>
      <c r="L757" s="3"/>
      <c r="M757" s="3"/>
      <c r="N757" s="3"/>
      <c r="O757" s="3"/>
    </row>
    <row r="758" ht="15.75" customHeight="1">
      <c r="A758" s="3"/>
      <c r="B758" s="3"/>
      <c r="C758" s="3"/>
      <c r="D758" s="3"/>
      <c r="E758" s="3"/>
      <c r="F758" s="3"/>
      <c r="I758" s="3"/>
      <c r="J758" s="3"/>
      <c r="K758" s="3"/>
      <c r="L758" s="3"/>
      <c r="M758" s="3"/>
      <c r="N758" s="3"/>
      <c r="O758" s="3"/>
    </row>
    <row r="759" ht="15.75" customHeight="1">
      <c r="A759" s="3"/>
      <c r="B759" s="3"/>
      <c r="C759" s="3"/>
      <c r="D759" s="3"/>
      <c r="E759" s="3"/>
      <c r="F759" s="3"/>
      <c r="I759" s="3"/>
      <c r="J759" s="3"/>
      <c r="K759" s="3"/>
      <c r="L759" s="3"/>
      <c r="M759" s="3"/>
      <c r="N759" s="3"/>
      <c r="O759" s="3"/>
    </row>
    <row r="760" ht="15.75" customHeight="1">
      <c r="A760" s="3"/>
      <c r="B760" s="3"/>
      <c r="C760" s="3"/>
      <c r="D760" s="3"/>
      <c r="E760" s="3"/>
      <c r="F760" s="3"/>
      <c r="I760" s="3"/>
      <c r="J760" s="3"/>
      <c r="K760" s="3"/>
      <c r="L760" s="3"/>
      <c r="M760" s="3"/>
      <c r="N760" s="3"/>
      <c r="O760" s="3"/>
    </row>
    <row r="761" ht="15.75" customHeight="1">
      <c r="A761" s="3"/>
      <c r="B761" s="3"/>
      <c r="C761" s="3"/>
      <c r="D761" s="3"/>
      <c r="E761" s="3"/>
      <c r="F761" s="3"/>
      <c r="I761" s="3"/>
      <c r="J761" s="3"/>
      <c r="K761" s="3"/>
      <c r="L761" s="3"/>
      <c r="M761" s="3"/>
      <c r="N761" s="3"/>
      <c r="O761" s="3"/>
    </row>
    <row r="762" ht="15.75" customHeight="1">
      <c r="A762" s="3"/>
      <c r="B762" s="3"/>
      <c r="C762" s="3"/>
      <c r="D762" s="3"/>
      <c r="E762" s="3"/>
      <c r="F762" s="3"/>
      <c r="I762" s="3"/>
      <c r="J762" s="3"/>
      <c r="K762" s="3"/>
      <c r="L762" s="3"/>
      <c r="M762" s="3"/>
      <c r="N762" s="3"/>
      <c r="O762" s="3"/>
    </row>
    <row r="763" ht="15.75" customHeight="1">
      <c r="A763" s="3"/>
      <c r="B763" s="3"/>
      <c r="C763" s="3"/>
      <c r="D763" s="3"/>
      <c r="E763" s="3"/>
      <c r="F763" s="3"/>
      <c r="I763" s="3"/>
      <c r="J763" s="3"/>
      <c r="K763" s="3"/>
      <c r="L763" s="3"/>
      <c r="M763" s="3"/>
      <c r="N763" s="3"/>
      <c r="O763" s="3"/>
    </row>
    <row r="764" ht="15.75" customHeight="1">
      <c r="A764" s="3"/>
      <c r="B764" s="3"/>
      <c r="C764" s="3"/>
      <c r="D764" s="3"/>
      <c r="E764" s="3"/>
      <c r="F764" s="3"/>
      <c r="I764" s="3"/>
      <c r="J764" s="3"/>
      <c r="K764" s="3"/>
      <c r="L764" s="3"/>
      <c r="M764" s="3"/>
      <c r="N764" s="3"/>
      <c r="O764" s="3"/>
    </row>
    <row r="765" ht="15.75" customHeight="1">
      <c r="A765" s="3"/>
      <c r="B765" s="3"/>
      <c r="C765" s="3"/>
      <c r="D765" s="3"/>
      <c r="E765" s="3"/>
      <c r="F765" s="3"/>
      <c r="I765" s="3"/>
      <c r="J765" s="3"/>
      <c r="K765" s="3"/>
      <c r="L765" s="3"/>
      <c r="M765" s="3"/>
      <c r="N765" s="3"/>
      <c r="O765" s="3"/>
    </row>
    <row r="766" ht="15.75" customHeight="1">
      <c r="A766" s="3"/>
      <c r="B766" s="3"/>
      <c r="C766" s="3"/>
      <c r="D766" s="3"/>
      <c r="E766" s="3"/>
      <c r="F766" s="3"/>
      <c r="I766" s="3"/>
      <c r="J766" s="3"/>
      <c r="K766" s="3"/>
      <c r="L766" s="3"/>
      <c r="M766" s="3"/>
      <c r="N766" s="3"/>
      <c r="O766" s="3"/>
    </row>
    <row r="767" ht="15.75" customHeight="1">
      <c r="A767" s="3"/>
      <c r="B767" s="3"/>
      <c r="C767" s="3"/>
      <c r="D767" s="3"/>
      <c r="E767" s="3"/>
      <c r="F767" s="3"/>
      <c r="I767" s="3"/>
      <c r="J767" s="3"/>
      <c r="K767" s="3"/>
      <c r="L767" s="3"/>
      <c r="M767" s="3"/>
      <c r="N767" s="3"/>
      <c r="O767" s="3"/>
    </row>
    <row r="768" ht="15.75" customHeight="1">
      <c r="A768" s="3"/>
      <c r="B768" s="3"/>
      <c r="C768" s="3"/>
      <c r="D768" s="3"/>
      <c r="E768" s="3"/>
      <c r="F768" s="3"/>
      <c r="I768" s="3"/>
      <c r="J768" s="3"/>
      <c r="K768" s="3"/>
      <c r="L768" s="3"/>
      <c r="M768" s="3"/>
      <c r="N768" s="3"/>
      <c r="O768" s="3"/>
    </row>
    <row r="769" ht="15.75" customHeight="1">
      <c r="A769" s="3"/>
      <c r="B769" s="3"/>
      <c r="C769" s="3"/>
      <c r="D769" s="3"/>
      <c r="E769" s="3"/>
      <c r="F769" s="3"/>
      <c r="I769" s="3"/>
      <c r="J769" s="3"/>
      <c r="K769" s="3"/>
      <c r="L769" s="3"/>
      <c r="M769" s="3"/>
      <c r="N769" s="3"/>
      <c r="O769" s="3"/>
    </row>
    <row r="770" ht="15.75" customHeight="1">
      <c r="A770" s="3"/>
      <c r="B770" s="3"/>
      <c r="C770" s="3"/>
      <c r="D770" s="3"/>
      <c r="E770" s="3"/>
      <c r="F770" s="3"/>
      <c r="I770" s="3"/>
      <c r="J770" s="3"/>
      <c r="K770" s="3"/>
      <c r="L770" s="3"/>
      <c r="M770" s="3"/>
      <c r="N770" s="3"/>
      <c r="O770" s="3"/>
    </row>
    <row r="771" ht="15.75" customHeight="1">
      <c r="A771" s="3"/>
      <c r="B771" s="3"/>
      <c r="C771" s="3"/>
      <c r="D771" s="3"/>
      <c r="E771" s="3"/>
      <c r="F771" s="3"/>
      <c r="I771" s="3"/>
      <c r="J771" s="3"/>
      <c r="K771" s="3"/>
      <c r="L771" s="3"/>
      <c r="M771" s="3"/>
      <c r="N771" s="3"/>
      <c r="O771" s="3"/>
    </row>
    <row r="772" ht="15.75" customHeight="1">
      <c r="A772" s="3"/>
      <c r="B772" s="3"/>
      <c r="C772" s="3"/>
      <c r="D772" s="3"/>
      <c r="E772" s="3"/>
      <c r="F772" s="3"/>
      <c r="I772" s="3"/>
      <c r="J772" s="3"/>
      <c r="K772" s="3"/>
      <c r="L772" s="3"/>
      <c r="M772" s="3"/>
      <c r="N772" s="3"/>
      <c r="O772" s="3"/>
    </row>
    <row r="773" ht="15.75" customHeight="1">
      <c r="A773" s="3"/>
      <c r="B773" s="3"/>
      <c r="C773" s="3"/>
      <c r="D773" s="3"/>
      <c r="E773" s="3"/>
      <c r="F773" s="3"/>
      <c r="I773" s="3"/>
      <c r="J773" s="3"/>
      <c r="K773" s="3"/>
      <c r="L773" s="3"/>
      <c r="M773" s="3"/>
      <c r="N773" s="3"/>
      <c r="O773" s="3"/>
    </row>
    <row r="774" ht="15.75" customHeight="1">
      <c r="A774" s="3"/>
      <c r="B774" s="3"/>
      <c r="C774" s="3"/>
      <c r="D774" s="3"/>
      <c r="E774" s="3"/>
      <c r="F774" s="3"/>
      <c r="I774" s="3"/>
      <c r="J774" s="3"/>
      <c r="K774" s="3"/>
      <c r="L774" s="3"/>
      <c r="M774" s="3"/>
      <c r="N774" s="3"/>
      <c r="O774" s="3"/>
    </row>
    <row r="775" ht="15.75" customHeight="1">
      <c r="A775" s="3"/>
      <c r="B775" s="3"/>
      <c r="C775" s="3"/>
      <c r="D775" s="3"/>
      <c r="E775" s="3"/>
      <c r="F775" s="3"/>
      <c r="I775" s="3"/>
      <c r="J775" s="3"/>
      <c r="K775" s="3"/>
      <c r="L775" s="3"/>
      <c r="M775" s="3"/>
      <c r="N775" s="3"/>
      <c r="O775" s="3"/>
    </row>
    <row r="776" ht="15.75" customHeight="1">
      <c r="A776" s="3"/>
      <c r="B776" s="3"/>
      <c r="C776" s="3"/>
      <c r="D776" s="3"/>
      <c r="E776" s="3"/>
      <c r="F776" s="3"/>
      <c r="I776" s="3"/>
      <c r="J776" s="3"/>
      <c r="K776" s="3"/>
      <c r="L776" s="3"/>
      <c r="M776" s="3"/>
      <c r="N776" s="3"/>
      <c r="O776" s="3"/>
    </row>
    <row r="777" ht="15.75" customHeight="1">
      <c r="A777" s="3"/>
      <c r="B777" s="3"/>
      <c r="C777" s="3"/>
      <c r="D777" s="3"/>
      <c r="E777" s="3"/>
      <c r="F777" s="3"/>
      <c r="I777" s="3"/>
      <c r="J777" s="3"/>
      <c r="K777" s="3"/>
      <c r="L777" s="3"/>
      <c r="M777" s="3"/>
      <c r="N777" s="3"/>
      <c r="O777" s="3"/>
    </row>
    <row r="778" ht="15.75" customHeight="1">
      <c r="A778" s="3"/>
      <c r="B778" s="3"/>
      <c r="C778" s="3"/>
      <c r="D778" s="3"/>
      <c r="E778" s="3"/>
      <c r="F778" s="3"/>
      <c r="I778" s="3"/>
      <c r="J778" s="3"/>
      <c r="K778" s="3"/>
      <c r="L778" s="3"/>
      <c r="M778" s="3"/>
      <c r="N778" s="3"/>
      <c r="O778" s="3"/>
    </row>
    <row r="779" ht="15.75" customHeight="1">
      <c r="A779" s="3"/>
      <c r="B779" s="3"/>
      <c r="C779" s="3"/>
      <c r="D779" s="3"/>
      <c r="E779" s="3"/>
      <c r="F779" s="3"/>
      <c r="I779" s="3"/>
      <c r="J779" s="3"/>
      <c r="K779" s="3"/>
      <c r="L779" s="3"/>
      <c r="M779" s="3"/>
      <c r="N779" s="3"/>
      <c r="O779" s="3"/>
    </row>
    <row r="780" ht="15.75" customHeight="1">
      <c r="A780" s="3"/>
      <c r="B780" s="3"/>
      <c r="C780" s="3"/>
      <c r="D780" s="3"/>
      <c r="E780" s="3"/>
      <c r="F780" s="3"/>
      <c r="I780" s="3"/>
      <c r="J780" s="3"/>
      <c r="K780" s="3"/>
      <c r="L780" s="3"/>
      <c r="M780" s="3"/>
      <c r="N780" s="3"/>
      <c r="O780" s="3"/>
    </row>
    <row r="781" ht="15.75" customHeight="1">
      <c r="A781" s="3"/>
      <c r="B781" s="3"/>
      <c r="C781" s="3"/>
      <c r="D781" s="3"/>
      <c r="E781" s="3"/>
      <c r="F781" s="3"/>
      <c r="I781" s="3"/>
      <c r="J781" s="3"/>
      <c r="K781" s="3"/>
      <c r="L781" s="3"/>
      <c r="M781" s="3"/>
      <c r="N781" s="3"/>
      <c r="O781" s="3"/>
    </row>
    <row r="782" ht="15.75" customHeight="1">
      <c r="A782" s="3"/>
      <c r="B782" s="3"/>
      <c r="C782" s="3"/>
      <c r="D782" s="3"/>
      <c r="E782" s="3"/>
      <c r="F782" s="3"/>
      <c r="I782" s="3"/>
      <c r="J782" s="3"/>
      <c r="K782" s="3"/>
      <c r="L782" s="3"/>
      <c r="M782" s="3"/>
      <c r="N782" s="3"/>
      <c r="O782" s="3"/>
    </row>
    <row r="783" ht="15.75" customHeight="1">
      <c r="A783" s="3"/>
      <c r="B783" s="3"/>
      <c r="C783" s="3"/>
      <c r="D783" s="3"/>
      <c r="E783" s="3"/>
      <c r="F783" s="3"/>
      <c r="I783" s="3"/>
      <c r="J783" s="3"/>
      <c r="K783" s="3"/>
      <c r="L783" s="3"/>
      <c r="M783" s="3"/>
      <c r="N783" s="3"/>
      <c r="O783" s="3"/>
    </row>
    <row r="784" ht="15.75" customHeight="1">
      <c r="A784" s="3"/>
      <c r="B784" s="3"/>
      <c r="C784" s="3"/>
      <c r="D784" s="3"/>
      <c r="E784" s="3"/>
      <c r="F784" s="3"/>
      <c r="I784" s="3"/>
      <c r="J784" s="3"/>
      <c r="K784" s="3"/>
      <c r="L784" s="3"/>
      <c r="M784" s="3"/>
      <c r="N784" s="3"/>
      <c r="O784" s="3"/>
    </row>
    <row r="785" ht="15.75" customHeight="1">
      <c r="A785" s="3"/>
      <c r="B785" s="3"/>
      <c r="C785" s="3"/>
      <c r="D785" s="3"/>
      <c r="E785" s="3"/>
      <c r="F785" s="3"/>
      <c r="I785" s="3"/>
      <c r="J785" s="3"/>
      <c r="K785" s="3"/>
      <c r="L785" s="3"/>
      <c r="M785" s="3"/>
      <c r="N785" s="3"/>
      <c r="O785" s="3"/>
    </row>
    <row r="786" ht="15.75" customHeight="1">
      <c r="A786" s="3"/>
      <c r="B786" s="3"/>
      <c r="C786" s="3"/>
      <c r="D786" s="3"/>
      <c r="E786" s="3"/>
      <c r="F786" s="3"/>
      <c r="I786" s="3"/>
      <c r="J786" s="3"/>
      <c r="K786" s="3"/>
      <c r="L786" s="3"/>
      <c r="M786" s="3"/>
      <c r="N786" s="3"/>
      <c r="O786" s="3"/>
    </row>
    <row r="787" ht="15.75" customHeight="1">
      <c r="A787" s="3"/>
      <c r="B787" s="3"/>
      <c r="C787" s="3"/>
      <c r="D787" s="3"/>
      <c r="E787" s="3"/>
      <c r="F787" s="3"/>
      <c r="I787" s="3"/>
      <c r="J787" s="3"/>
      <c r="K787" s="3"/>
      <c r="L787" s="3"/>
      <c r="M787" s="3"/>
      <c r="N787" s="3"/>
      <c r="O787" s="3"/>
    </row>
    <row r="788" ht="15.75" customHeight="1">
      <c r="A788" s="3"/>
      <c r="B788" s="3"/>
      <c r="C788" s="3"/>
      <c r="D788" s="3"/>
      <c r="E788" s="3"/>
      <c r="F788" s="3"/>
      <c r="I788" s="3"/>
      <c r="J788" s="3"/>
      <c r="K788" s="3"/>
      <c r="L788" s="3"/>
      <c r="M788" s="3"/>
      <c r="N788" s="3"/>
      <c r="O788" s="3"/>
    </row>
    <row r="789" ht="15.75" customHeight="1">
      <c r="A789" s="3"/>
      <c r="B789" s="3"/>
      <c r="C789" s="3"/>
      <c r="D789" s="3"/>
      <c r="E789" s="3"/>
      <c r="F789" s="3"/>
      <c r="I789" s="3"/>
      <c r="J789" s="3"/>
      <c r="K789" s="3"/>
      <c r="L789" s="3"/>
      <c r="M789" s="3"/>
      <c r="N789" s="3"/>
      <c r="O789" s="3"/>
    </row>
    <row r="790" ht="15.75" customHeight="1">
      <c r="A790" s="3"/>
      <c r="B790" s="3"/>
      <c r="C790" s="3"/>
      <c r="D790" s="3"/>
      <c r="E790" s="3"/>
      <c r="F790" s="3"/>
      <c r="I790" s="3"/>
      <c r="J790" s="3"/>
      <c r="K790" s="3"/>
      <c r="L790" s="3"/>
      <c r="M790" s="3"/>
      <c r="N790" s="3"/>
      <c r="O790" s="3"/>
    </row>
    <row r="791" ht="15.75" customHeight="1">
      <c r="A791" s="3"/>
      <c r="B791" s="3"/>
      <c r="C791" s="3"/>
      <c r="D791" s="3"/>
      <c r="E791" s="3"/>
      <c r="F791" s="3"/>
      <c r="I791" s="3"/>
      <c r="J791" s="3"/>
      <c r="K791" s="3"/>
      <c r="L791" s="3"/>
      <c r="M791" s="3"/>
      <c r="N791" s="3"/>
      <c r="O791" s="3"/>
    </row>
    <row r="792" ht="15.75" customHeight="1">
      <c r="A792" s="3"/>
      <c r="B792" s="3"/>
      <c r="C792" s="3"/>
      <c r="D792" s="3"/>
      <c r="E792" s="3"/>
      <c r="F792" s="3"/>
      <c r="I792" s="3"/>
      <c r="J792" s="3"/>
      <c r="K792" s="3"/>
      <c r="L792" s="3"/>
      <c r="M792" s="3"/>
      <c r="N792" s="3"/>
      <c r="O792" s="3"/>
    </row>
    <row r="793" ht="15.75" customHeight="1">
      <c r="A793" s="3"/>
      <c r="B793" s="3"/>
      <c r="C793" s="3"/>
      <c r="D793" s="3"/>
      <c r="E793" s="3"/>
      <c r="F793" s="3"/>
      <c r="I793" s="3"/>
      <c r="J793" s="3"/>
      <c r="K793" s="3"/>
      <c r="L793" s="3"/>
      <c r="M793" s="3"/>
      <c r="N793" s="3"/>
      <c r="O793" s="3"/>
    </row>
    <row r="794" ht="15.75" customHeight="1">
      <c r="A794" s="3"/>
      <c r="B794" s="3"/>
      <c r="C794" s="3"/>
      <c r="D794" s="3"/>
      <c r="E794" s="3"/>
      <c r="F794" s="3"/>
      <c r="I794" s="3"/>
      <c r="J794" s="3"/>
      <c r="K794" s="3"/>
      <c r="L794" s="3"/>
      <c r="M794" s="3"/>
      <c r="N794" s="3"/>
      <c r="O794" s="3"/>
    </row>
    <row r="795" ht="15.75" customHeight="1">
      <c r="A795" s="3"/>
      <c r="B795" s="3"/>
      <c r="C795" s="3"/>
      <c r="D795" s="3"/>
      <c r="E795" s="3"/>
      <c r="F795" s="3"/>
      <c r="I795" s="3"/>
      <c r="J795" s="3"/>
      <c r="K795" s="3"/>
      <c r="L795" s="3"/>
      <c r="M795" s="3"/>
      <c r="N795" s="3"/>
      <c r="O795" s="3"/>
    </row>
    <row r="796" ht="15.75" customHeight="1">
      <c r="A796" s="3"/>
      <c r="B796" s="3"/>
      <c r="C796" s="3"/>
      <c r="D796" s="3"/>
      <c r="E796" s="3"/>
      <c r="F796" s="3"/>
      <c r="I796" s="3"/>
      <c r="J796" s="3"/>
      <c r="K796" s="3"/>
      <c r="L796" s="3"/>
      <c r="M796" s="3"/>
      <c r="N796" s="3"/>
      <c r="O796" s="3"/>
    </row>
    <row r="797" ht="15.75" customHeight="1">
      <c r="A797" s="3"/>
      <c r="B797" s="3"/>
      <c r="C797" s="3"/>
      <c r="D797" s="3"/>
      <c r="E797" s="3"/>
      <c r="F797" s="3"/>
      <c r="I797" s="3"/>
      <c r="J797" s="3"/>
      <c r="K797" s="3"/>
      <c r="L797" s="3"/>
      <c r="M797" s="3"/>
      <c r="N797" s="3"/>
      <c r="O797" s="3"/>
    </row>
    <row r="798" ht="15.75" customHeight="1">
      <c r="A798" s="3"/>
      <c r="B798" s="3"/>
      <c r="C798" s="3"/>
      <c r="D798" s="3"/>
      <c r="E798" s="3"/>
      <c r="F798" s="3"/>
      <c r="I798" s="3"/>
      <c r="J798" s="3"/>
      <c r="K798" s="3"/>
      <c r="L798" s="3"/>
      <c r="M798" s="3"/>
      <c r="N798" s="3"/>
      <c r="O798" s="3"/>
    </row>
    <row r="799" ht="15.75" customHeight="1">
      <c r="A799" s="3"/>
      <c r="B799" s="3"/>
      <c r="C799" s="3"/>
      <c r="D799" s="3"/>
      <c r="E799" s="3"/>
      <c r="F799" s="3"/>
      <c r="I799" s="3"/>
      <c r="J799" s="3"/>
      <c r="K799" s="3"/>
      <c r="L799" s="3"/>
      <c r="M799" s="3"/>
      <c r="N799" s="3"/>
      <c r="O799" s="3"/>
    </row>
    <row r="800" ht="15.75" customHeight="1">
      <c r="A800" s="3"/>
      <c r="B800" s="3"/>
      <c r="C800" s="3"/>
      <c r="D800" s="3"/>
      <c r="E800" s="3"/>
      <c r="F800" s="3"/>
      <c r="I800" s="3"/>
      <c r="J800" s="3"/>
      <c r="K800" s="3"/>
      <c r="L800" s="3"/>
      <c r="M800" s="3"/>
      <c r="N800" s="3"/>
      <c r="O800" s="3"/>
    </row>
    <row r="801" ht="15.75" customHeight="1">
      <c r="A801" s="3"/>
      <c r="B801" s="3"/>
      <c r="C801" s="3"/>
      <c r="D801" s="3"/>
      <c r="E801" s="3"/>
      <c r="F801" s="3"/>
      <c r="I801" s="3"/>
      <c r="J801" s="3"/>
      <c r="K801" s="3"/>
      <c r="L801" s="3"/>
      <c r="M801" s="3"/>
      <c r="N801" s="3"/>
      <c r="O801" s="3"/>
    </row>
    <row r="802" ht="15.75" customHeight="1">
      <c r="A802" s="3"/>
      <c r="B802" s="3"/>
      <c r="C802" s="3"/>
      <c r="D802" s="3"/>
      <c r="E802" s="3"/>
      <c r="F802" s="3"/>
      <c r="I802" s="3"/>
      <c r="J802" s="3"/>
      <c r="K802" s="3"/>
      <c r="L802" s="3"/>
      <c r="M802" s="3"/>
      <c r="N802" s="3"/>
      <c r="O802" s="3"/>
    </row>
    <row r="803" ht="15.75" customHeight="1">
      <c r="A803" s="3"/>
      <c r="B803" s="3"/>
      <c r="C803" s="3"/>
      <c r="D803" s="3"/>
      <c r="E803" s="3"/>
      <c r="F803" s="3"/>
      <c r="I803" s="3"/>
      <c r="J803" s="3"/>
      <c r="K803" s="3"/>
      <c r="L803" s="3"/>
      <c r="M803" s="3"/>
      <c r="N803" s="3"/>
      <c r="O803" s="3"/>
    </row>
    <row r="804" ht="15.75" customHeight="1">
      <c r="A804" s="3"/>
      <c r="B804" s="3"/>
      <c r="C804" s="3"/>
      <c r="D804" s="3"/>
      <c r="E804" s="3"/>
      <c r="F804" s="3"/>
      <c r="I804" s="3"/>
      <c r="J804" s="3"/>
      <c r="K804" s="3"/>
      <c r="L804" s="3"/>
      <c r="M804" s="3"/>
      <c r="N804" s="3"/>
      <c r="O804" s="3"/>
    </row>
    <row r="805" ht="15.75" customHeight="1">
      <c r="A805" s="3"/>
      <c r="B805" s="3"/>
      <c r="C805" s="3"/>
      <c r="D805" s="3"/>
      <c r="E805" s="3"/>
      <c r="F805" s="3"/>
      <c r="I805" s="3"/>
      <c r="J805" s="3"/>
      <c r="K805" s="3"/>
      <c r="L805" s="3"/>
      <c r="M805" s="3"/>
      <c r="N805" s="3"/>
      <c r="O805" s="3"/>
    </row>
    <row r="806" ht="15.75" customHeight="1">
      <c r="A806" s="3"/>
      <c r="B806" s="3"/>
      <c r="C806" s="3"/>
      <c r="D806" s="3"/>
      <c r="E806" s="3"/>
      <c r="F806" s="3"/>
      <c r="I806" s="3"/>
      <c r="J806" s="3"/>
      <c r="K806" s="3"/>
      <c r="L806" s="3"/>
      <c r="M806" s="3"/>
      <c r="N806" s="3"/>
      <c r="O806" s="3"/>
    </row>
    <row r="807" ht="15.75" customHeight="1">
      <c r="A807" s="3"/>
      <c r="B807" s="3"/>
      <c r="C807" s="3"/>
      <c r="D807" s="3"/>
      <c r="E807" s="3"/>
      <c r="F807" s="3"/>
      <c r="I807" s="3"/>
      <c r="J807" s="3"/>
      <c r="K807" s="3"/>
      <c r="L807" s="3"/>
      <c r="M807" s="3"/>
      <c r="N807" s="3"/>
      <c r="O807" s="3"/>
    </row>
    <row r="808" ht="15.75" customHeight="1">
      <c r="A808" s="3"/>
      <c r="B808" s="3"/>
      <c r="C808" s="3"/>
      <c r="D808" s="3"/>
      <c r="E808" s="3"/>
      <c r="F808" s="3"/>
      <c r="I808" s="3"/>
      <c r="J808" s="3"/>
      <c r="K808" s="3"/>
      <c r="L808" s="3"/>
      <c r="M808" s="3"/>
      <c r="N808" s="3"/>
      <c r="O808" s="3"/>
    </row>
    <row r="809" ht="15.75" customHeight="1">
      <c r="A809" s="3"/>
      <c r="B809" s="3"/>
      <c r="C809" s="3"/>
      <c r="D809" s="3"/>
      <c r="E809" s="3"/>
      <c r="F809" s="3"/>
      <c r="I809" s="3"/>
      <c r="J809" s="3"/>
      <c r="K809" s="3"/>
      <c r="L809" s="3"/>
      <c r="M809" s="3"/>
      <c r="N809" s="3"/>
      <c r="O809" s="3"/>
    </row>
    <row r="810" ht="15.75" customHeight="1">
      <c r="A810" s="3"/>
      <c r="B810" s="3"/>
      <c r="C810" s="3"/>
      <c r="D810" s="3"/>
      <c r="E810" s="3"/>
      <c r="F810" s="3"/>
      <c r="I810" s="3"/>
      <c r="J810" s="3"/>
      <c r="K810" s="3"/>
      <c r="L810" s="3"/>
      <c r="M810" s="3"/>
      <c r="N810" s="3"/>
      <c r="O810" s="3"/>
    </row>
    <row r="811" ht="15.75" customHeight="1">
      <c r="A811" s="3"/>
      <c r="B811" s="3"/>
      <c r="C811" s="3"/>
      <c r="D811" s="3"/>
      <c r="E811" s="3"/>
      <c r="F811" s="3"/>
      <c r="I811" s="3"/>
      <c r="J811" s="3"/>
      <c r="K811" s="3"/>
      <c r="L811" s="3"/>
      <c r="M811" s="3"/>
      <c r="N811" s="3"/>
      <c r="O811" s="3"/>
    </row>
    <row r="812" ht="15.75" customHeight="1">
      <c r="A812" s="3"/>
      <c r="B812" s="3"/>
      <c r="C812" s="3"/>
      <c r="D812" s="3"/>
      <c r="E812" s="3"/>
      <c r="F812" s="3"/>
      <c r="I812" s="3"/>
      <c r="J812" s="3"/>
      <c r="K812" s="3"/>
      <c r="L812" s="3"/>
      <c r="M812" s="3"/>
      <c r="N812" s="3"/>
      <c r="O812" s="3"/>
    </row>
    <row r="813" ht="15.75" customHeight="1">
      <c r="A813" s="3"/>
      <c r="B813" s="3"/>
      <c r="C813" s="3"/>
      <c r="D813" s="3"/>
      <c r="E813" s="3"/>
      <c r="F813" s="3"/>
      <c r="I813" s="3"/>
      <c r="J813" s="3"/>
      <c r="K813" s="3"/>
      <c r="L813" s="3"/>
      <c r="M813" s="3"/>
      <c r="N813" s="3"/>
      <c r="O813" s="3"/>
    </row>
    <row r="814" ht="15.75" customHeight="1">
      <c r="A814" s="3"/>
      <c r="B814" s="3"/>
      <c r="C814" s="3"/>
      <c r="D814" s="3"/>
      <c r="E814" s="3"/>
      <c r="F814" s="3"/>
      <c r="I814" s="3"/>
      <c r="J814" s="3"/>
      <c r="K814" s="3"/>
      <c r="L814" s="3"/>
      <c r="M814" s="3"/>
      <c r="N814" s="3"/>
      <c r="O814" s="3"/>
    </row>
    <row r="815" ht="15.75" customHeight="1">
      <c r="A815" s="3"/>
      <c r="B815" s="3"/>
      <c r="C815" s="3"/>
      <c r="D815" s="3"/>
      <c r="E815" s="3"/>
      <c r="F815" s="3"/>
      <c r="I815" s="3"/>
      <c r="J815" s="3"/>
      <c r="K815" s="3"/>
      <c r="L815" s="3"/>
      <c r="M815" s="3"/>
      <c r="N815" s="3"/>
      <c r="O815" s="3"/>
    </row>
    <row r="816" ht="15.75" customHeight="1">
      <c r="A816" s="3"/>
      <c r="B816" s="3"/>
      <c r="C816" s="3"/>
      <c r="D816" s="3"/>
      <c r="E816" s="3"/>
      <c r="F816" s="3"/>
      <c r="I816" s="3"/>
      <c r="J816" s="3"/>
      <c r="K816" s="3"/>
      <c r="L816" s="3"/>
      <c r="M816" s="3"/>
      <c r="N816" s="3"/>
      <c r="O816" s="3"/>
    </row>
    <row r="817" ht="15.75" customHeight="1">
      <c r="A817" s="3"/>
      <c r="B817" s="3"/>
      <c r="C817" s="3"/>
      <c r="D817" s="3"/>
      <c r="E817" s="3"/>
      <c r="F817" s="3"/>
      <c r="I817" s="3"/>
      <c r="J817" s="3"/>
      <c r="K817" s="3"/>
      <c r="L817" s="3"/>
      <c r="M817" s="3"/>
      <c r="N817" s="3"/>
      <c r="O817" s="3"/>
    </row>
    <row r="818" ht="15.75" customHeight="1">
      <c r="A818" s="3"/>
      <c r="B818" s="3"/>
      <c r="C818" s="3"/>
      <c r="D818" s="3"/>
      <c r="E818" s="3"/>
      <c r="F818" s="3"/>
      <c r="I818" s="3"/>
      <c r="J818" s="3"/>
      <c r="K818" s="3"/>
      <c r="L818" s="3"/>
      <c r="M818" s="3"/>
      <c r="N818" s="3"/>
      <c r="O818" s="3"/>
    </row>
    <row r="819" ht="15.75" customHeight="1">
      <c r="A819" s="3"/>
      <c r="B819" s="3"/>
      <c r="C819" s="3"/>
      <c r="D819" s="3"/>
      <c r="E819" s="3"/>
      <c r="F819" s="3"/>
      <c r="I819" s="3"/>
      <c r="J819" s="3"/>
      <c r="K819" s="3"/>
      <c r="L819" s="3"/>
      <c r="M819" s="3"/>
      <c r="N819" s="3"/>
      <c r="O819" s="3"/>
    </row>
    <row r="820" ht="15.75" customHeight="1">
      <c r="A820" s="3"/>
      <c r="B820" s="3"/>
      <c r="C820" s="3"/>
      <c r="D820" s="3"/>
      <c r="E820" s="3"/>
      <c r="F820" s="3"/>
      <c r="I820" s="3"/>
      <c r="J820" s="3"/>
      <c r="K820" s="3"/>
      <c r="L820" s="3"/>
      <c r="M820" s="3"/>
      <c r="N820" s="3"/>
      <c r="O820" s="3"/>
    </row>
    <row r="821" ht="15.75" customHeight="1">
      <c r="A821" s="3"/>
      <c r="B821" s="3"/>
      <c r="C821" s="3"/>
      <c r="D821" s="3"/>
      <c r="E821" s="3"/>
      <c r="F821" s="3"/>
      <c r="I821" s="3"/>
      <c r="J821" s="3"/>
      <c r="K821" s="3"/>
      <c r="L821" s="3"/>
      <c r="M821" s="3"/>
      <c r="N821" s="3"/>
      <c r="O821" s="3"/>
    </row>
    <row r="822" ht="15.75" customHeight="1">
      <c r="A822" s="3"/>
      <c r="B822" s="3"/>
      <c r="C822" s="3"/>
      <c r="D822" s="3"/>
      <c r="E822" s="3"/>
      <c r="F822" s="3"/>
      <c r="I822" s="3"/>
      <c r="J822" s="3"/>
      <c r="K822" s="3"/>
      <c r="L822" s="3"/>
      <c r="M822" s="3"/>
      <c r="N822" s="3"/>
      <c r="O822" s="3"/>
    </row>
    <row r="823" ht="15.75" customHeight="1">
      <c r="A823" s="3"/>
      <c r="B823" s="3"/>
      <c r="C823" s="3"/>
      <c r="D823" s="3"/>
      <c r="E823" s="3"/>
      <c r="F823" s="3"/>
      <c r="I823" s="3"/>
      <c r="J823" s="3"/>
      <c r="K823" s="3"/>
      <c r="L823" s="3"/>
      <c r="M823" s="3"/>
      <c r="N823" s="3"/>
      <c r="O823" s="3"/>
    </row>
    <row r="824" ht="15.75" customHeight="1">
      <c r="A824" s="3"/>
      <c r="B824" s="3"/>
      <c r="C824" s="3"/>
      <c r="D824" s="3"/>
      <c r="E824" s="3"/>
      <c r="F824" s="3"/>
      <c r="I824" s="3"/>
      <c r="J824" s="3"/>
      <c r="K824" s="3"/>
      <c r="L824" s="3"/>
      <c r="M824" s="3"/>
      <c r="N824" s="3"/>
      <c r="O824" s="3"/>
    </row>
    <row r="825" ht="15.75" customHeight="1">
      <c r="A825" s="3"/>
      <c r="B825" s="3"/>
      <c r="C825" s="3"/>
      <c r="D825" s="3"/>
      <c r="E825" s="3"/>
      <c r="F825" s="3"/>
      <c r="I825" s="3"/>
      <c r="J825" s="3"/>
      <c r="K825" s="3"/>
      <c r="L825" s="3"/>
      <c r="M825" s="3"/>
      <c r="N825" s="3"/>
      <c r="O825" s="3"/>
    </row>
    <row r="826" ht="15.75" customHeight="1">
      <c r="A826" s="3"/>
      <c r="B826" s="3"/>
      <c r="C826" s="3"/>
      <c r="D826" s="3"/>
      <c r="E826" s="3"/>
      <c r="F826" s="3"/>
      <c r="I826" s="3"/>
      <c r="J826" s="3"/>
      <c r="K826" s="3"/>
      <c r="L826" s="3"/>
      <c r="M826" s="3"/>
      <c r="N826" s="3"/>
      <c r="O826" s="3"/>
    </row>
    <row r="827" ht="15.75" customHeight="1">
      <c r="A827" s="3"/>
      <c r="B827" s="3"/>
      <c r="C827" s="3"/>
      <c r="D827" s="3"/>
      <c r="E827" s="3"/>
      <c r="F827" s="3"/>
      <c r="I827" s="3"/>
      <c r="J827" s="3"/>
      <c r="K827" s="3"/>
      <c r="L827" s="3"/>
      <c r="M827" s="3"/>
      <c r="N827" s="3"/>
      <c r="O827" s="3"/>
    </row>
    <row r="828" ht="15.75" customHeight="1">
      <c r="A828" s="3"/>
      <c r="B828" s="3"/>
      <c r="C828" s="3"/>
      <c r="D828" s="3"/>
      <c r="E828" s="3"/>
      <c r="F828" s="3"/>
      <c r="I828" s="3"/>
      <c r="J828" s="3"/>
      <c r="K828" s="3"/>
      <c r="L828" s="3"/>
      <c r="M828" s="3"/>
      <c r="N828" s="3"/>
      <c r="O828" s="3"/>
    </row>
    <row r="829" ht="15.75" customHeight="1">
      <c r="A829" s="3"/>
      <c r="B829" s="3"/>
      <c r="C829" s="3"/>
      <c r="D829" s="3"/>
      <c r="E829" s="3"/>
      <c r="F829" s="3"/>
      <c r="I829" s="3"/>
      <c r="J829" s="3"/>
      <c r="K829" s="3"/>
      <c r="L829" s="3"/>
      <c r="M829" s="3"/>
      <c r="N829" s="3"/>
      <c r="O829" s="3"/>
    </row>
    <row r="830" ht="15.75" customHeight="1">
      <c r="A830" s="3"/>
      <c r="B830" s="3"/>
      <c r="C830" s="3"/>
      <c r="D830" s="3"/>
      <c r="E830" s="3"/>
      <c r="F830" s="3"/>
      <c r="I830" s="3"/>
      <c r="J830" s="3"/>
      <c r="K830" s="3"/>
      <c r="L830" s="3"/>
      <c r="M830" s="3"/>
      <c r="N830" s="3"/>
      <c r="O830" s="3"/>
    </row>
    <row r="831" ht="15.75" customHeight="1">
      <c r="A831" s="3"/>
      <c r="B831" s="3"/>
      <c r="C831" s="3"/>
      <c r="D831" s="3"/>
      <c r="E831" s="3"/>
      <c r="F831" s="3"/>
      <c r="I831" s="3"/>
      <c r="J831" s="3"/>
      <c r="K831" s="3"/>
      <c r="L831" s="3"/>
      <c r="M831" s="3"/>
      <c r="N831" s="3"/>
      <c r="O831" s="3"/>
    </row>
    <row r="832" ht="15.75" customHeight="1">
      <c r="A832" s="3"/>
      <c r="B832" s="3"/>
      <c r="C832" s="3"/>
      <c r="D832" s="3"/>
      <c r="E832" s="3"/>
      <c r="F832" s="3"/>
      <c r="I832" s="3"/>
      <c r="J832" s="3"/>
      <c r="K832" s="3"/>
      <c r="L832" s="3"/>
      <c r="M832" s="3"/>
      <c r="N832" s="3"/>
      <c r="O832" s="3"/>
    </row>
    <row r="833" ht="15.75" customHeight="1">
      <c r="A833" s="3"/>
      <c r="B833" s="3"/>
      <c r="C833" s="3"/>
      <c r="D833" s="3"/>
      <c r="E833" s="3"/>
      <c r="F833" s="3"/>
      <c r="I833" s="3"/>
      <c r="J833" s="3"/>
      <c r="K833" s="3"/>
      <c r="L833" s="3"/>
      <c r="M833" s="3"/>
      <c r="N833" s="3"/>
      <c r="O833" s="3"/>
    </row>
    <row r="834" ht="15.75" customHeight="1">
      <c r="A834" s="3"/>
      <c r="B834" s="3"/>
      <c r="C834" s="3"/>
      <c r="D834" s="3"/>
      <c r="E834" s="3"/>
      <c r="F834" s="3"/>
      <c r="I834" s="3"/>
      <c r="J834" s="3"/>
      <c r="K834" s="3"/>
      <c r="L834" s="3"/>
      <c r="M834" s="3"/>
      <c r="N834" s="3"/>
      <c r="O834" s="3"/>
    </row>
    <row r="835" ht="15.75" customHeight="1">
      <c r="A835" s="3"/>
      <c r="B835" s="3"/>
      <c r="C835" s="3"/>
      <c r="D835" s="3"/>
      <c r="E835" s="3"/>
      <c r="F835" s="3"/>
      <c r="I835" s="3"/>
      <c r="J835" s="3"/>
      <c r="K835" s="3"/>
      <c r="L835" s="3"/>
      <c r="M835" s="3"/>
      <c r="N835" s="3"/>
      <c r="O835" s="3"/>
    </row>
    <row r="836" ht="15.75" customHeight="1">
      <c r="A836" s="3"/>
      <c r="B836" s="3"/>
      <c r="C836" s="3"/>
      <c r="D836" s="3"/>
      <c r="E836" s="3"/>
      <c r="F836" s="3"/>
      <c r="I836" s="3"/>
      <c r="J836" s="3"/>
      <c r="K836" s="3"/>
      <c r="L836" s="3"/>
      <c r="M836" s="3"/>
      <c r="N836" s="3"/>
      <c r="O836" s="3"/>
    </row>
    <row r="837" ht="15.75" customHeight="1">
      <c r="A837" s="3"/>
      <c r="B837" s="3"/>
      <c r="C837" s="3"/>
      <c r="D837" s="3"/>
      <c r="E837" s="3"/>
      <c r="F837" s="3"/>
      <c r="I837" s="3"/>
      <c r="J837" s="3"/>
      <c r="K837" s="3"/>
      <c r="L837" s="3"/>
      <c r="M837" s="3"/>
      <c r="N837" s="3"/>
      <c r="O837" s="3"/>
    </row>
    <row r="838" ht="15.75" customHeight="1">
      <c r="A838" s="3"/>
      <c r="B838" s="3"/>
      <c r="C838" s="3"/>
      <c r="D838" s="3"/>
      <c r="E838" s="3"/>
      <c r="F838" s="3"/>
      <c r="I838" s="3"/>
      <c r="J838" s="3"/>
      <c r="K838" s="3"/>
      <c r="L838" s="3"/>
      <c r="M838" s="3"/>
      <c r="N838" s="3"/>
      <c r="O838" s="3"/>
    </row>
    <row r="839" ht="15.75" customHeight="1">
      <c r="A839" s="3"/>
      <c r="B839" s="3"/>
      <c r="C839" s="3"/>
      <c r="D839" s="3"/>
      <c r="E839" s="3"/>
      <c r="F839" s="3"/>
      <c r="I839" s="3"/>
      <c r="J839" s="3"/>
      <c r="K839" s="3"/>
      <c r="L839" s="3"/>
      <c r="M839" s="3"/>
      <c r="N839" s="3"/>
      <c r="O839" s="3"/>
    </row>
    <row r="840" ht="15.75" customHeight="1">
      <c r="A840" s="3"/>
      <c r="B840" s="3"/>
      <c r="C840" s="3"/>
      <c r="D840" s="3"/>
      <c r="E840" s="3"/>
      <c r="F840" s="3"/>
      <c r="I840" s="3"/>
      <c r="J840" s="3"/>
      <c r="K840" s="3"/>
      <c r="L840" s="3"/>
      <c r="M840" s="3"/>
      <c r="N840" s="3"/>
      <c r="O840" s="3"/>
    </row>
    <row r="841" ht="15.75" customHeight="1">
      <c r="A841" s="3"/>
      <c r="B841" s="3"/>
      <c r="C841" s="3"/>
      <c r="D841" s="3"/>
      <c r="E841" s="3"/>
      <c r="F841" s="3"/>
      <c r="I841" s="3"/>
      <c r="J841" s="3"/>
      <c r="K841" s="3"/>
      <c r="L841" s="3"/>
      <c r="M841" s="3"/>
      <c r="N841" s="3"/>
      <c r="O841" s="3"/>
    </row>
    <row r="842" ht="15.75" customHeight="1">
      <c r="A842" s="3"/>
      <c r="B842" s="3"/>
      <c r="C842" s="3"/>
      <c r="D842" s="3"/>
      <c r="E842" s="3"/>
      <c r="F842" s="3"/>
      <c r="I842" s="3"/>
      <c r="J842" s="3"/>
      <c r="K842" s="3"/>
      <c r="L842" s="3"/>
      <c r="M842" s="3"/>
      <c r="N842" s="3"/>
      <c r="O842" s="3"/>
    </row>
    <row r="843" ht="15.75" customHeight="1">
      <c r="A843" s="3"/>
      <c r="B843" s="3"/>
      <c r="C843" s="3"/>
      <c r="D843" s="3"/>
      <c r="E843" s="3"/>
      <c r="F843" s="3"/>
      <c r="I843" s="3"/>
      <c r="J843" s="3"/>
      <c r="K843" s="3"/>
      <c r="L843" s="3"/>
      <c r="M843" s="3"/>
      <c r="N843" s="3"/>
      <c r="O843" s="3"/>
    </row>
    <row r="844" ht="15.75" customHeight="1">
      <c r="A844" s="3"/>
      <c r="B844" s="3"/>
      <c r="C844" s="3"/>
      <c r="D844" s="3"/>
      <c r="E844" s="3"/>
      <c r="F844" s="3"/>
      <c r="I844" s="3"/>
      <c r="J844" s="3"/>
      <c r="K844" s="3"/>
      <c r="L844" s="3"/>
      <c r="M844" s="3"/>
      <c r="N844" s="3"/>
      <c r="O844" s="3"/>
    </row>
    <row r="845" ht="15.75" customHeight="1">
      <c r="A845" s="3"/>
      <c r="B845" s="3"/>
      <c r="C845" s="3"/>
      <c r="D845" s="3"/>
      <c r="E845" s="3"/>
      <c r="F845" s="3"/>
      <c r="I845" s="3"/>
      <c r="J845" s="3"/>
      <c r="K845" s="3"/>
      <c r="L845" s="3"/>
      <c r="M845" s="3"/>
      <c r="N845" s="3"/>
      <c r="O845" s="3"/>
    </row>
    <row r="846" ht="15.75" customHeight="1">
      <c r="A846" s="3"/>
      <c r="B846" s="3"/>
      <c r="C846" s="3"/>
      <c r="D846" s="3"/>
      <c r="E846" s="3"/>
      <c r="F846" s="3"/>
      <c r="I846" s="3"/>
      <c r="J846" s="3"/>
      <c r="K846" s="3"/>
      <c r="L846" s="3"/>
      <c r="M846" s="3"/>
      <c r="N846" s="3"/>
      <c r="O846" s="3"/>
    </row>
    <row r="847" ht="15.75" customHeight="1">
      <c r="A847" s="3"/>
      <c r="B847" s="3"/>
      <c r="C847" s="3"/>
      <c r="D847" s="3"/>
      <c r="E847" s="3"/>
      <c r="F847" s="3"/>
      <c r="I847" s="3"/>
      <c r="J847" s="3"/>
      <c r="K847" s="3"/>
      <c r="L847" s="3"/>
      <c r="M847" s="3"/>
      <c r="N847" s="3"/>
      <c r="O847" s="3"/>
    </row>
    <row r="848" ht="15.75" customHeight="1">
      <c r="A848" s="3"/>
      <c r="B848" s="3"/>
      <c r="C848" s="3"/>
      <c r="D848" s="3"/>
      <c r="E848" s="3"/>
      <c r="F848" s="3"/>
      <c r="I848" s="3"/>
      <c r="J848" s="3"/>
      <c r="K848" s="3"/>
      <c r="L848" s="3"/>
      <c r="M848" s="3"/>
      <c r="N848" s="3"/>
      <c r="O848" s="3"/>
    </row>
    <row r="849" ht="15.75" customHeight="1">
      <c r="A849" s="3"/>
      <c r="B849" s="3"/>
      <c r="C849" s="3"/>
      <c r="D849" s="3"/>
      <c r="E849" s="3"/>
      <c r="F849" s="3"/>
      <c r="I849" s="3"/>
      <c r="J849" s="3"/>
      <c r="K849" s="3"/>
      <c r="L849" s="3"/>
      <c r="M849" s="3"/>
      <c r="N849" s="3"/>
      <c r="O849" s="3"/>
    </row>
    <row r="850" ht="15.75" customHeight="1">
      <c r="A850" s="3"/>
      <c r="B850" s="3"/>
      <c r="C850" s="3"/>
      <c r="D850" s="3"/>
      <c r="E850" s="3"/>
      <c r="F850" s="3"/>
      <c r="I850" s="3"/>
      <c r="J850" s="3"/>
      <c r="K850" s="3"/>
      <c r="L850" s="3"/>
      <c r="M850" s="3"/>
      <c r="N850" s="3"/>
      <c r="O850" s="3"/>
    </row>
    <row r="851" ht="15.75" customHeight="1">
      <c r="A851" s="3"/>
      <c r="B851" s="3"/>
      <c r="C851" s="3"/>
      <c r="D851" s="3"/>
      <c r="E851" s="3"/>
      <c r="F851" s="3"/>
      <c r="I851" s="3"/>
      <c r="J851" s="3"/>
      <c r="K851" s="3"/>
      <c r="L851" s="3"/>
      <c r="M851" s="3"/>
      <c r="N851" s="3"/>
      <c r="O851" s="3"/>
    </row>
    <row r="852" ht="15.75" customHeight="1">
      <c r="A852" s="3"/>
      <c r="B852" s="3"/>
      <c r="C852" s="3"/>
      <c r="D852" s="3"/>
      <c r="E852" s="3"/>
      <c r="F852" s="3"/>
      <c r="I852" s="3"/>
      <c r="J852" s="3"/>
      <c r="K852" s="3"/>
      <c r="L852" s="3"/>
      <c r="M852" s="3"/>
      <c r="N852" s="3"/>
      <c r="O852" s="3"/>
    </row>
    <row r="853" ht="15.75" customHeight="1">
      <c r="A853" s="3"/>
      <c r="B853" s="3"/>
      <c r="C853" s="3"/>
      <c r="D853" s="3"/>
      <c r="E853" s="3"/>
      <c r="F853" s="3"/>
      <c r="I853" s="3"/>
      <c r="J853" s="3"/>
      <c r="K853" s="3"/>
      <c r="L853" s="3"/>
      <c r="M853" s="3"/>
      <c r="N853" s="3"/>
      <c r="O853" s="3"/>
    </row>
    <row r="854" ht="15.75" customHeight="1">
      <c r="A854" s="3"/>
      <c r="B854" s="3"/>
      <c r="C854" s="3"/>
      <c r="D854" s="3"/>
      <c r="E854" s="3"/>
      <c r="F854" s="3"/>
      <c r="I854" s="3"/>
      <c r="J854" s="3"/>
      <c r="K854" s="3"/>
      <c r="L854" s="3"/>
      <c r="M854" s="3"/>
      <c r="N854" s="3"/>
      <c r="O854" s="3"/>
    </row>
    <row r="855" ht="15.75" customHeight="1">
      <c r="A855" s="3"/>
      <c r="B855" s="3"/>
      <c r="C855" s="3"/>
      <c r="D855" s="3"/>
      <c r="E855" s="3"/>
      <c r="F855" s="3"/>
      <c r="I855" s="3"/>
      <c r="J855" s="3"/>
      <c r="K855" s="3"/>
      <c r="L855" s="3"/>
      <c r="M855" s="3"/>
      <c r="N855" s="3"/>
      <c r="O855" s="3"/>
    </row>
    <row r="856" ht="15.75" customHeight="1">
      <c r="A856" s="3"/>
      <c r="B856" s="3"/>
      <c r="C856" s="3"/>
      <c r="D856" s="3"/>
      <c r="E856" s="3"/>
      <c r="F856" s="3"/>
      <c r="I856" s="3"/>
      <c r="J856" s="3"/>
      <c r="K856" s="3"/>
      <c r="L856" s="3"/>
      <c r="M856" s="3"/>
      <c r="N856" s="3"/>
      <c r="O856" s="3"/>
    </row>
    <row r="857" ht="15.75" customHeight="1">
      <c r="A857" s="3"/>
      <c r="B857" s="3"/>
      <c r="C857" s="3"/>
      <c r="D857" s="3"/>
      <c r="E857" s="3"/>
      <c r="F857" s="3"/>
      <c r="I857" s="3"/>
      <c r="J857" s="3"/>
      <c r="K857" s="3"/>
      <c r="L857" s="3"/>
      <c r="M857" s="3"/>
      <c r="N857" s="3"/>
      <c r="O857" s="3"/>
    </row>
    <row r="858" ht="15.75" customHeight="1">
      <c r="A858" s="3"/>
      <c r="B858" s="3"/>
      <c r="C858" s="3"/>
      <c r="D858" s="3"/>
      <c r="E858" s="3"/>
      <c r="F858" s="3"/>
      <c r="I858" s="3"/>
      <c r="J858" s="3"/>
      <c r="K858" s="3"/>
      <c r="L858" s="3"/>
      <c r="M858" s="3"/>
      <c r="N858" s="3"/>
      <c r="O858" s="3"/>
    </row>
    <row r="859" ht="15.75" customHeight="1">
      <c r="A859" s="3"/>
      <c r="B859" s="3"/>
      <c r="C859" s="3"/>
      <c r="D859" s="3"/>
      <c r="E859" s="3"/>
      <c r="F859" s="3"/>
      <c r="I859" s="3"/>
      <c r="J859" s="3"/>
      <c r="K859" s="3"/>
      <c r="L859" s="3"/>
      <c r="M859" s="3"/>
      <c r="N859" s="3"/>
      <c r="O859" s="3"/>
    </row>
    <row r="860" ht="15.75" customHeight="1">
      <c r="A860" s="3"/>
      <c r="B860" s="3"/>
      <c r="C860" s="3"/>
      <c r="D860" s="3"/>
      <c r="E860" s="3"/>
      <c r="F860" s="3"/>
      <c r="I860" s="3"/>
      <c r="J860" s="3"/>
      <c r="K860" s="3"/>
      <c r="L860" s="3"/>
      <c r="M860" s="3"/>
      <c r="N860" s="3"/>
      <c r="O860" s="3"/>
    </row>
    <row r="861" ht="15.75" customHeight="1">
      <c r="A861" s="3"/>
      <c r="B861" s="3"/>
      <c r="C861" s="3"/>
      <c r="D861" s="3"/>
      <c r="E861" s="3"/>
      <c r="F861" s="3"/>
      <c r="I861" s="3"/>
      <c r="J861" s="3"/>
      <c r="K861" s="3"/>
      <c r="L861" s="3"/>
      <c r="M861" s="3"/>
      <c r="N861" s="3"/>
      <c r="O861" s="3"/>
    </row>
    <row r="862" ht="15.75" customHeight="1">
      <c r="A862" s="3"/>
      <c r="B862" s="3"/>
      <c r="C862" s="3"/>
      <c r="D862" s="3"/>
      <c r="E862" s="3"/>
      <c r="F862" s="3"/>
      <c r="I862" s="3"/>
      <c r="J862" s="3"/>
      <c r="K862" s="3"/>
      <c r="L862" s="3"/>
      <c r="M862" s="3"/>
      <c r="N862" s="3"/>
      <c r="O862" s="3"/>
    </row>
    <row r="863" ht="15.75" customHeight="1">
      <c r="A863" s="3"/>
      <c r="B863" s="3"/>
      <c r="C863" s="3"/>
      <c r="D863" s="3"/>
      <c r="E863" s="3"/>
      <c r="F863" s="3"/>
      <c r="I863" s="3"/>
      <c r="J863" s="3"/>
      <c r="K863" s="3"/>
      <c r="L863" s="3"/>
      <c r="M863" s="3"/>
      <c r="N863" s="3"/>
      <c r="O863" s="3"/>
    </row>
    <row r="864" ht="15.75" customHeight="1">
      <c r="A864" s="3"/>
      <c r="B864" s="3"/>
      <c r="C864" s="3"/>
      <c r="D864" s="3"/>
      <c r="E864" s="3"/>
      <c r="F864" s="3"/>
      <c r="I864" s="3"/>
      <c r="J864" s="3"/>
      <c r="K864" s="3"/>
      <c r="L864" s="3"/>
      <c r="M864" s="3"/>
      <c r="N864" s="3"/>
      <c r="O864" s="3"/>
    </row>
    <row r="865" ht="15.75" customHeight="1">
      <c r="A865" s="3"/>
      <c r="B865" s="3"/>
      <c r="C865" s="3"/>
      <c r="D865" s="3"/>
      <c r="E865" s="3"/>
      <c r="F865" s="3"/>
      <c r="I865" s="3"/>
      <c r="J865" s="3"/>
      <c r="K865" s="3"/>
      <c r="L865" s="3"/>
      <c r="M865" s="3"/>
      <c r="N865" s="3"/>
      <c r="O865" s="3"/>
    </row>
    <row r="866" ht="15.75" customHeight="1">
      <c r="A866" s="3"/>
      <c r="B866" s="3"/>
      <c r="C866" s="3"/>
      <c r="D866" s="3"/>
      <c r="E866" s="3"/>
      <c r="F866" s="3"/>
      <c r="I866" s="3"/>
      <c r="J866" s="3"/>
      <c r="K866" s="3"/>
      <c r="L866" s="3"/>
      <c r="M866" s="3"/>
      <c r="N866" s="3"/>
      <c r="O866" s="3"/>
    </row>
    <row r="867" ht="15.75" customHeight="1">
      <c r="A867" s="3"/>
      <c r="B867" s="3"/>
      <c r="C867" s="3"/>
      <c r="D867" s="3"/>
      <c r="E867" s="3"/>
      <c r="F867" s="3"/>
      <c r="I867" s="3"/>
      <c r="J867" s="3"/>
      <c r="K867" s="3"/>
      <c r="L867" s="3"/>
      <c r="M867" s="3"/>
      <c r="N867" s="3"/>
      <c r="O867" s="3"/>
    </row>
    <row r="868" ht="15.75" customHeight="1">
      <c r="A868" s="3"/>
      <c r="B868" s="3"/>
      <c r="C868" s="3"/>
      <c r="D868" s="3"/>
      <c r="E868" s="3"/>
      <c r="F868" s="3"/>
      <c r="I868" s="3"/>
      <c r="J868" s="3"/>
      <c r="K868" s="3"/>
      <c r="L868" s="3"/>
      <c r="M868" s="3"/>
      <c r="N868" s="3"/>
      <c r="O868" s="3"/>
    </row>
    <row r="869" ht="15.75" customHeight="1">
      <c r="A869" s="3"/>
      <c r="B869" s="3"/>
      <c r="C869" s="3"/>
      <c r="D869" s="3"/>
      <c r="E869" s="3"/>
      <c r="F869" s="3"/>
      <c r="I869" s="3"/>
      <c r="J869" s="3"/>
      <c r="K869" s="3"/>
      <c r="L869" s="3"/>
      <c r="M869" s="3"/>
      <c r="N869" s="3"/>
      <c r="O869" s="3"/>
    </row>
    <row r="870" ht="15.75" customHeight="1">
      <c r="A870" s="3"/>
      <c r="B870" s="3"/>
      <c r="C870" s="3"/>
      <c r="D870" s="3"/>
      <c r="E870" s="3"/>
      <c r="F870" s="3"/>
      <c r="I870" s="3"/>
      <c r="J870" s="3"/>
      <c r="K870" s="3"/>
      <c r="L870" s="3"/>
      <c r="M870" s="3"/>
      <c r="N870" s="3"/>
      <c r="O870" s="3"/>
    </row>
    <row r="871" ht="15.75" customHeight="1">
      <c r="A871" s="3"/>
      <c r="B871" s="3"/>
      <c r="C871" s="3"/>
      <c r="D871" s="3"/>
      <c r="E871" s="3"/>
      <c r="F871" s="3"/>
      <c r="I871" s="3"/>
      <c r="J871" s="3"/>
      <c r="K871" s="3"/>
      <c r="L871" s="3"/>
      <c r="M871" s="3"/>
      <c r="N871" s="3"/>
      <c r="O871" s="3"/>
    </row>
    <row r="872" ht="15.75" customHeight="1">
      <c r="A872" s="3"/>
      <c r="B872" s="3"/>
      <c r="C872" s="3"/>
      <c r="D872" s="3"/>
      <c r="E872" s="3"/>
      <c r="F872" s="3"/>
      <c r="I872" s="3"/>
      <c r="J872" s="3"/>
      <c r="K872" s="3"/>
      <c r="L872" s="3"/>
      <c r="M872" s="3"/>
      <c r="N872" s="3"/>
      <c r="O872" s="3"/>
    </row>
    <row r="873" ht="15.75" customHeight="1">
      <c r="A873" s="3"/>
      <c r="B873" s="3"/>
      <c r="C873" s="3"/>
      <c r="D873" s="3"/>
      <c r="E873" s="3"/>
      <c r="F873" s="3"/>
      <c r="I873" s="3"/>
      <c r="J873" s="3"/>
      <c r="K873" s="3"/>
      <c r="L873" s="3"/>
      <c r="M873" s="3"/>
      <c r="N873" s="3"/>
      <c r="O873" s="3"/>
    </row>
    <row r="874" ht="15.75" customHeight="1">
      <c r="A874" s="3"/>
      <c r="B874" s="3"/>
      <c r="C874" s="3"/>
      <c r="D874" s="3"/>
      <c r="E874" s="3"/>
      <c r="F874" s="3"/>
      <c r="I874" s="3"/>
      <c r="J874" s="3"/>
      <c r="K874" s="3"/>
      <c r="L874" s="3"/>
      <c r="M874" s="3"/>
      <c r="N874" s="3"/>
      <c r="O874" s="3"/>
    </row>
    <row r="875" ht="15.75" customHeight="1">
      <c r="A875" s="3"/>
      <c r="B875" s="3"/>
      <c r="C875" s="3"/>
      <c r="D875" s="3"/>
      <c r="E875" s="3"/>
      <c r="F875" s="3"/>
      <c r="I875" s="3"/>
      <c r="J875" s="3"/>
      <c r="K875" s="3"/>
      <c r="L875" s="3"/>
      <c r="M875" s="3"/>
      <c r="N875" s="3"/>
      <c r="O875" s="3"/>
    </row>
    <row r="876" ht="15.75" customHeight="1">
      <c r="A876" s="3"/>
      <c r="B876" s="3"/>
      <c r="C876" s="3"/>
      <c r="D876" s="3"/>
      <c r="E876" s="3"/>
      <c r="F876" s="3"/>
      <c r="I876" s="3"/>
      <c r="J876" s="3"/>
      <c r="K876" s="3"/>
      <c r="L876" s="3"/>
      <c r="M876" s="3"/>
      <c r="N876" s="3"/>
      <c r="O876" s="3"/>
    </row>
    <row r="877" ht="15.75" customHeight="1">
      <c r="A877" s="3"/>
      <c r="B877" s="3"/>
      <c r="C877" s="3"/>
      <c r="D877" s="3"/>
      <c r="E877" s="3"/>
      <c r="F877" s="3"/>
      <c r="I877" s="3"/>
      <c r="J877" s="3"/>
      <c r="K877" s="3"/>
      <c r="L877" s="3"/>
      <c r="M877" s="3"/>
      <c r="N877" s="3"/>
      <c r="O877" s="3"/>
    </row>
    <row r="878" ht="15.75" customHeight="1">
      <c r="A878" s="3"/>
      <c r="B878" s="3"/>
      <c r="C878" s="3"/>
      <c r="D878" s="3"/>
      <c r="E878" s="3"/>
      <c r="F878" s="3"/>
      <c r="I878" s="3"/>
      <c r="J878" s="3"/>
      <c r="K878" s="3"/>
      <c r="L878" s="3"/>
      <c r="M878" s="3"/>
      <c r="N878" s="3"/>
      <c r="O878" s="3"/>
    </row>
    <row r="879" ht="15.75" customHeight="1">
      <c r="A879" s="3"/>
      <c r="B879" s="3"/>
      <c r="C879" s="3"/>
      <c r="D879" s="3"/>
      <c r="E879" s="3"/>
      <c r="F879" s="3"/>
      <c r="I879" s="3"/>
      <c r="J879" s="3"/>
      <c r="K879" s="3"/>
      <c r="L879" s="3"/>
      <c r="M879" s="3"/>
      <c r="N879" s="3"/>
      <c r="O879" s="3"/>
    </row>
    <row r="880" ht="15.75" customHeight="1">
      <c r="A880" s="3"/>
      <c r="B880" s="3"/>
      <c r="C880" s="3"/>
      <c r="D880" s="3"/>
      <c r="E880" s="3"/>
      <c r="F880" s="3"/>
      <c r="I880" s="3"/>
      <c r="J880" s="3"/>
      <c r="K880" s="3"/>
      <c r="L880" s="3"/>
      <c r="M880" s="3"/>
      <c r="N880" s="3"/>
      <c r="O880" s="3"/>
    </row>
    <row r="881" ht="15.75" customHeight="1">
      <c r="A881" s="3"/>
      <c r="B881" s="3"/>
      <c r="C881" s="3"/>
      <c r="D881" s="3"/>
      <c r="E881" s="3"/>
      <c r="F881" s="3"/>
      <c r="I881" s="3"/>
      <c r="J881" s="3"/>
      <c r="K881" s="3"/>
      <c r="L881" s="3"/>
      <c r="M881" s="3"/>
      <c r="N881" s="3"/>
      <c r="O881" s="3"/>
    </row>
    <row r="882" ht="15.75" customHeight="1">
      <c r="A882" s="3"/>
      <c r="B882" s="3"/>
      <c r="C882" s="3"/>
      <c r="D882" s="3"/>
      <c r="E882" s="3"/>
      <c r="F882" s="3"/>
      <c r="I882" s="3"/>
      <c r="J882" s="3"/>
      <c r="K882" s="3"/>
      <c r="L882" s="3"/>
      <c r="M882" s="3"/>
      <c r="N882" s="3"/>
      <c r="O882" s="3"/>
    </row>
    <row r="883" ht="15.75" customHeight="1">
      <c r="A883" s="3"/>
      <c r="B883" s="3"/>
      <c r="C883" s="3"/>
      <c r="D883" s="3"/>
      <c r="E883" s="3"/>
      <c r="F883" s="3"/>
      <c r="I883" s="3"/>
      <c r="J883" s="3"/>
      <c r="K883" s="3"/>
      <c r="L883" s="3"/>
      <c r="M883" s="3"/>
      <c r="N883" s="3"/>
      <c r="O883" s="3"/>
    </row>
    <row r="884" ht="15.75" customHeight="1">
      <c r="A884" s="3"/>
      <c r="B884" s="3"/>
      <c r="C884" s="3"/>
      <c r="D884" s="3"/>
      <c r="E884" s="3"/>
      <c r="F884" s="3"/>
      <c r="I884" s="3"/>
      <c r="J884" s="3"/>
      <c r="K884" s="3"/>
      <c r="L884" s="3"/>
      <c r="M884" s="3"/>
      <c r="N884" s="3"/>
      <c r="O884" s="3"/>
    </row>
    <row r="885" ht="15.75" customHeight="1">
      <c r="A885" s="3"/>
      <c r="B885" s="3"/>
      <c r="C885" s="3"/>
      <c r="D885" s="3"/>
      <c r="E885" s="3"/>
      <c r="F885" s="3"/>
      <c r="I885" s="3"/>
      <c r="J885" s="3"/>
      <c r="K885" s="3"/>
      <c r="L885" s="3"/>
      <c r="M885" s="3"/>
      <c r="N885" s="3"/>
      <c r="O885" s="3"/>
    </row>
    <row r="886" ht="15.75" customHeight="1">
      <c r="A886" s="3"/>
      <c r="B886" s="3"/>
      <c r="C886" s="3"/>
      <c r="D886" s="3"/>
      <c r="E886" s="3"/>
      <c r="F886" s="3"/>
      <c r="I886" s="3"/>
      <c r="J886" s="3"/>
      <c r="K886" s="3"/>
      <c r="L886" s="3"/>
      <c r="M886" s="3"/>
      <c r="N886" s="3"/>
      <c r="O886" s="3"/>
    </row>
    <row r="887" ht="15.75" customHeight="1">
      <c r="A887" s="3"/>
      <c r="B887" s="3"/>
      <c r="C887" s="3"/>
      <c r="D887" s="3"/>
      <c r="E887" s="3"/>
      <c r="F887" s="3"/>
      <c r="I887" s="3"/>
      <c r="J887" s="3"/>
      <c r="K887" s="3"/>
      <c r="L887" s="3"/>
      <c r="M887" s="3"/>
      <c r="N887" s="3"/>
      <c r="O887" s="3"/>
    </row>
    <row r="888" ht="15.75" customHeight="1">
      <c r="A888" s="3"/>
      <c r="B888" s="3"/>
      <c r="C888" s="3"/>
      <c r="D888" s="3"/>
      <c r="E888" s="3"/>
      <c r="F888" s="3"/>
      <c r="I888" s="3"/>
      <c r="J888" s="3"/>
      <c r="K888" s="3"/>
      <c r="L888" s="3"/>
      <c r="M888" s="3"/>
      <c r="N888" s="3"/>
      <c r="O888" s="3"/>
    </row>
    <row r="889" ht="15.75" customHeight="1">
      <c r="A889" s="3"/>
      <c r="B889" s="3"/>
      <c r="C889" s="3"/>
      <c r="D889" s="3"/>
      <c r="E889" s="3"/>
      <c r="F889" s="3"/>
      <c r="I889" s="3"/>
      <c r="J889" s="3"/>
      <c r="K889" s="3"/>
      <c r="L889" s="3"/>
      <c r="M889" s="3"/>
      <c r="N889" s="3"/>
      <c r="O889" s="3"/>
    </row>
    <row r="890" ht="15.75" customHeight="1">
      <c r="A890" s="3"/>
      <c r="B890" s="3"/>
      <c r="C890" s="3"/>
      <c r="D890" s="3"/>
      <c r="E890" s="3"/>
      <c r="F890" s="3"/>
      <c r="I890" s="3"/>
      <c r="J890" s="3"/>
      <c r="K890" s="3"/>
      <c r="L890" s="3"/>
      <c r="M890" s="3"/>
      <c r="N890" s="3"/>
      <c r="O890" s="3"/>
    </row>
    <row r="891" ht="15.75" customHeight="1">
      <c r="A891" s="3"/>
      <c r="B891" s="3"/>
      <c r="C891" s="3"/>
      <c r="D891" s="3"/>
      <c r="E891" s="3"/>
      <c r="F891" s="3"/>
      <c r="I891" s="3"/>
      <c r="J891" s="3"/>
      <c r="K891" s="3"/>
      <c r="L891" s="3"/>
      <c r="M891" s="3"/>
      <c r="N891" s="3"/>
      <c r="O891" s="3"/>
    </row>
    <row r="892" ht="15.75" customHeight="1">
      <c r="A892" s="3"/>
      <c r="B892" s="3"/>
      <c r="C892" s="3"/>
      <c r="D892" s="3"/>
      <c r="E892" s="3"/>
      <c r="F892" s="3"/>
      <c r="I892" s="3"/>
      <c r="J892" s="3"/>
      <c r="K892" s="3"/>
      <c r="L892" s="3"/>
      <c r="M892" s="3"/>
      <c r="N892" s="3"/>
      <c r="O892" s="3"/>
    </row>
    <row r="893" ht="15.75" customHeight="1">
      <c r="A893" s="3"/>
      <c r="B893" s="3"/>
      <c r="C893" s="3"/>
      <c r="D893" s="3"/>
      <c r="E893" s="3"/>
      <c r="F893" s="3"/>
      <c r="I893" s="3"/>
      <c r="J893" s="3"/>
      <c r="K893" s="3"/>
      <c r="L893" s="3"/>
      <c r="M893" s="3"/>
      <c r="N893" s="3"/>
      <c r="O893" s="3"/>
    </row>
    <row r="894" ht="15.75" customHeight="1">
      <c r="A894" s="3"/>
      <c r="B894" s="3"/>
      <c r="C894" s="3"/>
      <c r="D894" s="3"/>
      <c r="E894" s="3"/>
      <c r="F894" s="3"/>
      <c r="I894" s="3"/>
      <c r="J894" s="3"/>
      <c r="K894" s="3"/>
      <c r="L894" s="3"/>
      <c r="M894" s="3"/>
      <c r="N894" s="3"/>
      <c r="O894" s="3"/>
    </row>
    <row r="895" ht="15.75" customHeight="1">
      <c r="A895" s="3"/>
      <c r="B895" s="3"/>
      <c r="C895" s="3"/>
      <c r="D895" s="3"/>
      <c r="E895" s="3"/>
      <c r="F895" s="3"/>
      <c r="I895" s="3"/>
      <c r="J895" s="3"/>
      <c r="K895" s="3"/>
      <c r="L895" s="3"/>
      <c r="M895" s="3"/>
      <c r="N895" s="3"/>
      <c r="O895" s="3"/>
    </row>
    <row r="896" ht="15.75" customHeight="1">
      <c r="A896" s="3"/>
      <c r="B896" s="3"/>
      <c r="C896" s="3"/>
      <c r="D896" s="3"/>
      <c r="E896" s="3"/>
      <c r="F896" s="3"/>
      <c r="I896" s="3"/>
      <c r="J896" s="3"/>
      <c r="K896" s="3"/>
      <c r="L896" s="3"/>
      <c r="M896" s="3"/>
      <c r="N896" s="3"/>
      <c r="O896" s="3"/>
    </row>
    <row r="897" ht="15.75" customHeight="1">
      <c r="A897" s="3"/>
      <c r="B897" s="3"/>
      <c r="C897" s="3"/>
      <c r="D897" s="3"/>
      <c r="E897" s="3"/>
      <c r="F897" s="3"/>
      <c r="I897" s="3"/>
      <c r="J897" s="3"/>
      <c r="K897" s="3"/>
      <c r="L897" s="3"/>
      <c r="M897" s="3"/>
      <c r="N897" s="3"/>
      <c r="O897" s="3"/>
    </row>
    <row r="898" ht="15.75" customHeight="1">
      <c r="A898" s="3"/>
      <c r="B898" s="3"/>
      <c r="C898" s="3"/>
      <c r="D898" s="3"/>
      <c r="E898" s="3"/>
      <c r="F898" s="3"/>
      <c r="I898" s="3"/>
      <c r="J898" s="3"/>
      <c r="K898" s="3"/>
      <c r="L898" s="3"/>
      <c r="M898" s="3"/>
      <c r="N898" s="3"/>
      <c r="O898" s="3"/>
    </row>
    <row r="899" ht="15.75" customHeight="1">
      <c r="A899" s="3"/>
      <c r="B899" s="3"/>
      <c r="C899" s="3"/>
      <c r="D899" s="3"/>
      <c r="E899" s="3"/>
      <c r="F899" s="3"/>
      <c r="I899" s="3"/>
      <c r="J899" s="3"/>
      <c r="K899" s="3"/>
      <c r="L899" s="3"/>
      <c r="M899" s="3"/>
      <c r="N899" s="3"/>
      <c r="O899" s="3"/>
    </row>
    <row r="900" ht="15.75" customHeight="1">
      <c r="A900" s="3"/>
      <c r="B900" s="3"/>
      <c r="C900" s="3"/>
      <c r="D900" s="3"/>
      <c r="E900" s="3"/>
      <c r="F900" s="3"/>
      <c r="I900" s="3"/>
      <c r="J900" s="3"/>
      <c r="K900" s="3"/>
      <c r="L900" s="3"/>
      <c r="M900" s="3"/>
      <c r="N900" s="3"/>
      <c r="O900" s="3"/>
    </row>
    <row r="901" ht="15.75" customHeight="1">
      <c r="A901" s="3"/>
      <c r="B901" s="3"/>
      <c r="C901" s="3"/>
      <c r="D901" s="3"/>
      <c r="E901" s="3"/>
      <c r="F901" s="3"/>
      <c r="I901" s="3"/>
      <c r="J901" s="3"/>
      <c r="K901" s="3"/>
      <c r="L901" s="3"/>
      <c r="M901" s="3"/>
      <c r="N901" s="3"/>
      <c r="O901" s="3"/>
    </row>
    <row r="902" ht="15.75" customHeight="1">
      <c r="A902" s="3"/>
      <c r="B902" s="3"/>
      <c r="C902" s="3"/>
      <c r="D902" s="3"/>
      <c r="E902" s="3"/>
      <c r="F902" s="3"/>
      <c r="I902" s="3"/>
      <c r="J902" s="3"/>
      <c r="K902" s="3"/>
      <c r="L902" s="3"/>
      <c r="M902" s="3"/>
      <c r="N902" s="3"/>
      <c r="O902" s="3"/>
    </row>
    <row r="903" ht="15.75" customHeight="1">
      <c r="A903" s="3"/>
      <c r="B903" s="3"/>
      <c r="C903" s="3"/>
      <c r="D903" s="3"/>
      <c r="E903" s="3"/>
      <c r="F903" s="3"/>
      <c r="I903" s="3"/>
      <c r="J903" s="3"/>
      <c r="K903" s="3"/>
      <c r="L903" s="3"/>
      <c r="M903" s="3"/>
      <c r="N903" s="3"/>
      <c r="O903" s="3"/>
    </row>
    <row r="904" ht="15.75" customHeight="1">
      <c r="A904" s="3"/>
      <c r="B904" s="3"/>
      <c r="C904" s="3"/>
      <c r="D904" s="3"/>
      <c r="E904" s="3"/>
      <c r="F904" s="3"/>
      <c r="I904" s="3"/>
      <c r="J904" s="3"/>
      <c r="K904" s="3"/>
      <c r="L904" s="3"/>
      <c r="M904" s="3"/>
      <c r="N904" s="3"/>
      <c r="O904" s="3"/>
    </row>
    <row r="905" ht="15.75" customHeight="1">
      <c r="A905" s="3"/>
      <c r="B905" s="3"/>
      <c r="C905" s="3"/>
      <c r="D905" s="3"/>
      <c r="E905" s="3"/>
      <c r="F905" s="3"/>
      <c r="I905" s="3"/>
      <c r="J905" s="3"/>
      <c r="K905" s="3"/>
      <c r="L905" s="3"/>
      <c r="M905" s="3"/>
      <c r="N905" s="3"/>
      <c r="O905" s="3"/>
    </row>
    <row r="906" ht="15.75" customHeight="1">
      <c r="A906" s="3"/>
      <c r="B906" s="3"/>
      <c r="C906" s="3"/>
      <c r="D906" s="3"/>
      <c r="E906" s="3"/>
      <c r="F906" s="3"/>
      <c r="I906" s="3"/>
      <c r="J906" s="3"/>
      <c r="K906" s="3"/>
      <c r="L906" s="3"/>
      <c r="M906" s="3"/>
      <c r="N906" s="3"/>
      <c r="O906" s="3"/>
    </row>
    <row r="907" ht="15.75" customHeight="1">
      <c r="A907" s="3"/>
      <c r="B907" s="3"/>
      <c r="C907" s="3"/>
      <c r="D907" s="3"/>
      <c r="E907" s="3"/>
      <c r="F907" s="3"/>
      <c r="I907" s="3"/>
      <c r="J907" s="3"/>
      <c r="K907" s="3"/>
      <c r="L907" s="3"/>
      <c r="M907" s="3"/>
      <c r="N907" s="3"/>
      <c r="O907" s="3"/>
    </row>
    <row r="908" ht="15.75" customHeight="1">
      <c r="A908" s="3"/>
      <c r="B908" s="3"/>
      <c r="C908" s="3"/>
      <c r="D908" s="3"/>
      <c r="E908" s="3"/>
      <c r="F908" s="3"/>
      <c r="I908" s="3"/>
      <c r="J908" s="3"/>
      <c r="K908" s="3"/>
      <c r="L908" s="3"/>
      <c r="M908" s="3"/>
      <c r="N908" s="3"/>
      <c r="O908" s="3"/>
    </row>
    <row r="909" ht="15.75" customHeight="1">
      <c r="A909" s="3"/>
      <c r="B909" s="3"/>
      <c r="C909" s="3"/>
      <c r="D909" s="3"/>
      <c r="E909" s="3"/>
      <c r="F909" s="3"/>
      <c r="I909" s="3"/>
      <c r="J909" s="3"/>
      <c r="K909" s="3"/>
      <c r="L909" s="3"/>
      <c r="M909" s="3"/>
      <c r="N909" s="3"/>
      <c r="O909" s="3"/>
    </row>
    <row r="910" ht="15.75" customHeight="1">
      <c r="A910" s="3"/>
      <c r="B910" s="3"/>
      <c r="C910" s="3"/>
      <c r="D910" s="3"/>
      <c r="E910" s="3"/>
      <c r="F910" s="3"/>
      <c r="I910" s="3"/>
      <c r="J910" s="3"/>
      <c r="K910" s="3"/>
      <c r="L910" s="3"/>
      <c r="M910" s="3"/>
      <c r="N910" s="3"/>
      <c r="O910" s="3"/>
    </row>
    <row r="911" ht="15.75" customHeight="1">
      <c r="A911" s="3"/>
      <c r="B911" s="3"/>
      <c r="C911" s="3"/>
      <c r="D911" s="3"/>
      <c r="E911" s="3"/>
      <c r="F911" s="3"/>
      <c r="I911" s="3"/>
      <c r="J911" s="3"/>
      <c r="K911" s="3"/>
      <c r="L911" s="3"/>
      <c r="M911" s="3"/>
      <c r="N911" s="3"/>
      <c r="O911" s="3"/>
    </row>
    <row r="912" ht="15.75" customHeight="1">
      <c r="A912" s="3"/>
      <c r="B912" s="3"/>
      <c r="C912" s="3"/>
      <c r="D912" s="3"/>
      <c r="E912" s="3"/>
      <c r="F912" s="3"/>
      <c r="I912" s="3"/>
      <c r="J912" s="3"/>
      <c r="K912" s="3"/>
      <c r="L912" s="3"/>
      <c r="M912" s="3"/>
      <c r="N912" s="3"/>
      <c r="O912" s="3"/>
    </row>
    <row r="913" ht="15.75" customHeight="1">
      <c r="A913" s="3"/>
      <c r="B913" s="3"/>
      <c r="C913" s="3"/>
      <c r="D913" s="3"/>
      <c r="E913" s="3"/>
      <c r="F913" s="3"/>
      <c r="I913" s="3"/>
      <c r="J913" s="3"/>
      <c r="K913" s="3"/>
      <c r="L913" s="3"/>
      <c r="M913" s="3"/>
      <c r="N913" s="3"/>
      <c r="O913" s="3"/>
    </row>
    <row r="914" ht="15.75" customHeight="1">
      <c r="A914" s="3"/>
      <c r="B914" s="3"/>
      <c r="C914" s="3"/>
      <c r="D914" s="3"/>
      <c r="E914" s="3"/>
      <c r="F914" s="3"/>
      <c r="I914" s="3"/>
      <c r="J914" s="3"/>
      <c r="K914" s="3"/>
      <c r="L914" s="3"/>
      <c r="M914" s="3"/>
      <c r="N914" s="3"/>
      <c r="O914" s="3"/>
    </row>
    <row r="915" ht="15.75" customHeight="1">
      <c r="A915" s="3"/>
      <c r="B915" s="3"/>
      <c r="C915" s="3"/>
      <c r="D915" s="3"/>
      <c r="E915" s="3"/>
      <c r="F915" s="3"/>
      <c r="I915" s="3"/>
      <c r="J915" s="3"/>
      <c r="K915" s="3"/>
      <c r="L915" s="3"/>
      <c r="M915" s="3"/>
      <c r="N915" s="3"/>
      <c r="O915" s="3"/>
    </row>
    <row r="916" ht="15.75" customHeight="1">
      <c r="A916" s="3"/>
      <c r="B916" s="3"/>
      <c r="C916" s="3"/>
      <c r="D916" s="3"/>
      <c r="E916" s="3"/>
      <c r="F916" s="3"/>
      <c r="I916" s="3"/>
      <c r="J916" s="3"/>
      <c r="K916" s="3"/>
      <c r="L916" s="3"/>
      <c r="M916" s="3"/>
      <c r="N916" s="3"/>
      <c r="O916" s="3"/>
    </row>
    <row r="917" ht="15.75" customHeight="1">
      <c r="A917" s="3"/>
      <c r="B917" s="3"/>
      <c r="C917" s="3"/>
      <c r="D917" s="3"/>
      <c r="E917" s="3"/>
      <c r="F917" s="3"/>
      <c r="I917" s="3"/>
      <c r="J917" s="3"/>
      <c r="K917" s="3"/>
      <c r="L917" s="3"/>
      <c r="M917" s="3"/>
      <c r="N917" s="3"/>
      <c r="O917" s="3"/>
    </row>
    <row r="918" ht="15.75" customHeight="1">
      <c r="A918" s="3"/>
      <c r="B918" s="3"/>
      <c r="C918" s="3"/>
      <c r="D918" s="3"/>
      <c r="E918" s="3"/>
      <c r="F918" s="3"/>
      <c r="I918" s="3"/>
      <c r="J918" s="3"/>
      <c r="K918" s="3"/>
      <c r="L918" s="3"/>
      <c r="M918" s="3"/>
      <c r="N918" s="3"/>
      <c r="O918" s="3"/>
    </row>
    <row r="919" ht="15.75" customHeight="1">
      <c r="A919" s="3"/>
      <c r="B919" s="3"/>
      <c r="C919" s="3"/>
      <c r="D919" s="3"/>
      <c r="E919" s="3"/>
      <c r="F919" s="3"/>
      <c r="I919" s="3"/>
      <c r="J919" s="3"/>
      <c r="K919" s="3"/>
      <c r="L919" s="3"/>
      <c r="M919" s="3"/>
      <c r="N919" s="3"/>
      <c r="O919" s="3"/>
    </row>
    <row r="920" ht="15.75" customHeight="1">
      <c r="A920" s="3"/>
      <c r="B920" s="3"/>
      <c r="C920" s="3"/>
      <c r="D920" s="3"/>
      <c r="E920" s="3"/>
      <c r="F920" s="3"/>
      <c r="I920" s="3"/>
      <c r="J920" s="3"/>
      <c r="K920" s="3"/>
      <c r="L920" s="3"/>
      <c r="M920" s="3"/>
      <c r="N920" s="3"/>
      <c r="O920" s="3"/>
    </row>
    <row r="921" ht="15.75" customHeight="1">
      <c r="A921" s="3"/>
      <c r="B921" s="3"/>
      <c r="C921" s="3"/>
      <c r="D921" s="3"/>
      <c r="E921" s="3"/>
      <c r="F921" s="3"/>
      <c r="I921" s="3"/>
      <c r="J921" s="3"/>
      <c r="K921" s="3"/>
      <c r="L921" s="3"/>
      <c r="M921" s="3"/>
      <c r="N921" s="3"/>
      <c r="O921" s="3"/>
    </row>
    <row r="922" ht="15.75" customHeight="1">
      <c r="A922" s="3"/>
      <c r="B922" s="3"/>
      <c r="C922" s="3"/>
      <c r="D922" s="3"/>
      <c r="E922" s="3"/>
      <c r="F922" s="3"/>
      <c r="I922" s="3"/>
      <c r="J922" s="3"/>
      <c r="K922" s="3"/>
      <c r="L922" s="3"/>
      <c r="M922" s="3"/>
      <c r="N922" s="3"/>
      <c r="O922" s="3"/>
    </row>
    <row r="923" ht="15.75" customHeight="1">
      <c r="A923" s="3"/>
      <c r="B923" s="3"/>
      <c r="C923" s="3"/>
      <c r="D923" s="3"/>
      <c r="E923" s="3"/>
      <c r="F923" s="3"/>
      <c r="I923" s="3"/>
      <c r="J923" s="3"/>
      <c r="K923" s="3"/>
      <c r="L923" s="3"/>
      <c r="M923" s="3"/>
      <c r="N923" s="3"/>
      <c r="O923" s="3"/>
    </row>
    <row r="924" ht="15.75" customHeight="1">
      <c r="A924" s="3"/>
      <c r="B924" s="3"/>
      <c r="C924" s="3"/>
      <c r="D924" s="3"/>
      <c r="E924" s="3"/>
      <c r="F924" s="3"/>
      <c r="I924" s="3"/>
      <c r="J924" s="3"/>
      <c r="K924" s="3"/>
      <c r="L924" s="3"/>
      <c r="M924" s="3"/>
      <c r="N924" s="3"/>
      <c r="O924" s="3"/>
    </row>
    <row r="925" ht="15.75" customHeight="1">
      <c r="A925" s="3"/>
      <c r="B925" s="3"/>
      <c r="C925" s="3"/>
      <c r="D925" s="3"/>
      <c r="E925" s="3"/>
      <c r="F925" s="3"/>
      <c r="I925" s="3"/>
      <c r="J925" s="3"/>
      <c r="K925" s="3"/>
      <c r="L925" s="3"/>
      <c r="M925" s="3"/>
      <c r="N925" s="3"/>
      <c r="O925" s="3"/>
    </row>
    <row r="926" ht="15.75" customHeight="1">
      <c r="A926" s="3"/>
      <c r="B926" s="3"/>
      <c r="C926" s="3"/>
      <c r="D926" s="3"/>
      <c r="E926" s="3"/>
      <c r="F926" s="3"/>
      <c r="I926" s="3"/>
      <c r="J926" s="3"/>
      <c r="K926" s="3"/>
      <c r="L926" s="3"/>
      <c r="M926" s="3"/>
      <c r="N926" s="3"/>
      <c r="O926" s="3"/>
    </row>
    <row r="927" ht="15.75" customHeight="1">
      <c r="A927" s="3"/>
      <c r="B927" s="3"/>
      <c r="C927" s="3"/>
      <c r="D927" s="3"/>
      <c r="E927" s="3"/>
      <c r="F927" s="3"/>
      <c r="I927" s="3"/>
      <c r="J927" s="3"/>
      <c r="K927" s="3"/>
      <c r="L927" s="3"/>
      <c r="M927" s="3"/>
      <c r="N927" s="3"/>
      <c r="O927" s="3"/>
    </row>
    <row r="928" ht="15.75" customHeight="1">
      <c r="A928" s="3"/>
      <c r="B928" s="3"/>
      <c r="C928" s="3"/>
      <c r="D928" s="3"/>
      <c r="E928" s="3"/>
      <c r="F928" s="3"/>
      <c r="I928" s="3"/>
      <c r="J928" s="3"/>
      <c r="K928" s="3"/>
      <c r="L928" s="3"/>
      <c r="M928" s="3"/>
      <c r="N928" s="3"/>
      <c r="O928" s="3"/>
    </row>
    <row r="929" ht="15.75" customHeight="1">
      <c r="A929" s="3"/>
      <c r="B929" s="3"/>
      <c r="C929" s="3"/>
      <c r="D929" s="3"/>
      <c r="E929" s="3"/>
      <c r="F929" s="3"/>
      <c r="I929" s="3"/>
      <c r="J929" s="3"/>
      <c r="K929" s="3"/>
      <c r="L929" s="3"/>
      <c r="M929" s="3"/>
      <c r="N929" s="3"/>
      <c r="O929" s="3"/>
    </row>
    <row r="930" ht="15.75" customHeight="1">
      <c r="A930" s="3"/>
      <c r="B930" s="3"/>
      <c r="C930" s="3"/>
      <c r="D930" s="3"/>
      <c r="E930" s="3"/>
      <c r="F930" s="3"/>
      <c r="I930" s="3"/>
      <c r="J930" s="3"/>
      <c r="K930" s="3"/>
      <c r="L930" s="3"/>
      <c r="M930" s="3"/>
      <c r="N930" s="3"/>
      <c r="O930" s="3"/>
    </row>
    <row r="931" ht="15.75" customHeight="1">
      <c r="A931" s="3"/>
      <c r="B931" s="3"/>
      <c r="C931" s="3"/>
      <c r="D931" s="3"/>
      <c r="E931" s="3"/>
      <c r="F931" s="3"/>
      <c r="I931" s="3"/>
      <c r="J931" s="3"/>
      <c r="K931" s="3"/>
      <c r="L931" s="3"/>
      <c r="M931" s="3"/>
      <c r="N931" s="3"/>
      <c r="O931" s="3"/>
    </row>
    <row r="932" ht="15.75" customHeight="1">
      <c r="A932" s="3"/>
      <c r="B932" s="3"/>
      <c r="C932" s="3"/>
      <c r="D932" s="3"/>
      <c r="E932" s="3"/>
      <c r="F932" s="3"/>
      <c r="I932" s="3"/>
      <c r="J932" s="3"/>
      <c r="K932" s="3"/>
      <c r="L932" s="3"/>
      <c r="M932" s="3"/>
      <c r="N932" s="3"/>
      <c r="O932" s="3"/>
    </row>
    <row r="933" ht="15.75" customHeight="1">
      <c r="A933" s="3"/>
      <c r="B933" s="3"/>
      <c r="C933" s="3"/>
      <c r="D933" s="3"/>
      <c r="E933" s="3"/>
      <c r="F933" s="3"/>
      <c r="I933" s="3"/>
      <c r="J933" s="3"/>
      <c r="K933" s="3"/>
      <c r="L933" s="3"/>
      <c r="M933" s="3"/>
      <c r="N933" s="3"/>
      <c r="O933" s="3"/>
    </row>
    <row r="934" ht="15.75" customHeight="1">
      <c r="A934" s="3"/>
      <c r="B934" s="3"/>
      <c r="C934" s="3"/>
      <c r="D934" s="3"/>
      <c r="E934" s="3"/>
      <c r="F934" s="3"/>
      <c r="I934" s="3"/>
      <c r="J934" s="3"/>
      <c r="K934" s="3"/>
      <c r="L934" s="3"/>
      <c r="M934" s="3"/>
      <c r="N934" s="3"/>
      <c r="O934" s="3"/>
    </row>
    <row r="935" ht="15.75" customHeight="1">
      <c r="A935" s="3"/>
      <c r="B935" s="3"/>
      <c r="C935" s="3"/>
      <c r="D935" s="3"/>
      <c r="E935" s="3"/>
      <c r="F935" s="3"/>
      <c r="I935" s="3"/>
      <c r="J935" s="3"/>
      <c r="K935" s="3"/>
      <c r="L935" s="3"/>
      <c r="M935" s="3"/>
      <c r="N935" s="3"/>
      <c r="O935" s="3"/>
    </row>
    <row r="936" ht="15.75" customHeight="1">
      <c r="A936" s="3"/>
      <c r="B936" s="3"/>
      <c r="C936" s="3"/>
      <c r="D936" s="3"/>
      <c r="E936" s="3"/>
      <c r="F936" s="3"/>
      <c r="I936" s="3"/>
      <c r="J936" s="3"/>
      <c r="K936" s="3"/>
      <c r="L936" s="3"/>
      <c r="M936" s="3"/>
      <c r="N936" s="3"/>
      <c r="O936" s="3"/>
    </row>
    <row r="937" ht="15.75" customHeight="1">
      <c r="A937" s="3"/>
      <c r="B937" s="3"/>
      <c r="C937" s="3"/>
      <c r="D937" s="3"/>
      <c r="E937" s="3"/>
      <c r="F937" s="3"/>
      <c r="I937" s="3"/>
      <c r="J937" s="3"/>
      <c r="K937" s="3"/>
      <c r="L937" s="3"/>
      <c r="M937" s="3"/>
      <c r="N937" s="3"/>
      <c r="O937" s="3"/>
    </row>
    <row r="938" ht="15.75" customHeight="1">
      <c r="A938" s="3"/>
      <c r="B938" s="3"/>
      <c r="C938" s="3"/>
      <c r="D938" s="3"/>
      <c r="E938" s="3"/>
      <c r="F938" s="3"/>
      <c r="I938" s="3"/>
      <c r="J938" s="3"/>
      <c r="K938" s="3"/>
      <c r="L938" s="3"/>
      <c r="M938" s="3"/>
      <c r="N938" s="3"/>
      <c r="O938" s="3"/>
    </row>
    <row r="939" ht="15.75" customHeight="1">
      <c r="A939" s="3"/>
      <c r="B939" s="3"/>
      <c r="C939" s="3"/>
      <c r="D939" s="3"/>
      <c r="E939" s="3"/>
      <c r="F939" s="3"/>
      <c r="I939" s="3"/>
      <c r="J939" s="3"/>
      <c r="K939" s="3"/>
      <c r="L939" s="3"/>
      <c r="M939" s="3"/>
      <c r="N939" s="3"/>
      <c r="O939" s="3"/>
    </row>
    <row r="940" ht="15.75" customHeight="1">
      <c r="A940" s="3"/>
      <c r="B940" s="3"/>
      <c r="C940" s="3"/>
      <c r="D940" s="3"/>
      <c r="E940" s="3"/>
      <c r="F940" s="3"/>
      <c r="I940" s="3"/>
      <c r="J940" s="3"/>
      <c r="K940" s="3"/>
      <c r="L940" s="3"/>
      <c r="M940" s="3"/>
      <c r="N940" s="3"/>
      <c r="O940" s="3"/>
    </row>
    <row r="941" ht="15.75" customHeight="1">
      <c r="A941" s="3"/>
      <c r="B941" s="3"/>
      <c r="C941" s="3"/>
      <c r="D941" s="3"/>
      <c r="E941" s="3"/>
      <c r="F941" s="3"/>
      <c r="I941" s="3"/>
      <c r="J941" s="3"/>
      <c r="K941" s="3"/>
      <c r="L941" s="3"/>
      <c r="M941" s="3"/>
      <c r="N941" s="3"/>
      <c r="O941" s="3"/>
    </row>
    <row r="942" ht="15.75" customHeight="1">
      <c r="A942" s="3"/>
      <c r="B942" s="3"/>
      <c r="C942" s="3"/>
      <c r="D942" s="3"/>
      <c r="E942" s="3"/>
      <c r="F942" s="3"/>
      <c r="I942" s="3"/>
      <c r="J942" s="3"/>
      <c r="K942" s="3"/>
      <c r="L942" s="3"/>
      <c r="M942" s="3"/>
      <c r="N942" s="3"/>
      <c r="O942" s="3"/>
    </row>
    <row r="943" ht="15.75" customHeight="1">
      <c r="A943" s="3"/>
      <c r="B943" s="3"/>
      <c r="C943" s="3"/>
      <c r="D943" s="3"/>
      <c r="E943" s="3"/>
      <c r="F943" s="3"/>
      <c r="I943" s="3"/>
      <c r="J943" s="3"/>
      <c r="K943" s="3"/>
      <c r="L943" s="3"/>
      <c r="M943" s="3"/>
      <c r="N943" s="3"/>
      <c r="O943" s="3"/>
    </row>
    <row r="944" ht="15.75" customHeight="1">
      <c r="A944" s="3"/>
      <c r="B944" s="3"/>
      <c r="C944" s="3"/>
      <c r="D944" s="3"/>
      <c r="E944" s="3"/>
      <c r="F944" s="3"/>
      <c r="I944" s="3"/>
      <c r="J944" s="3"/>
      <c r="K944" s="3"/>
      <c r="L944" s="3"/>
      <c r="M944" s="3"/>
      <c r="N944" s="3"/>
      <c r="O944" s="3"/>
    </row>
    <row r="945" ht="15.75" customHeight="1">
      <c r="A945" s="3"/>
      <c r="B945" s="3"/>
      <c r="C945" s="3"/>
      <c r="D945" s="3"/>
      <c r="E945" s="3"/>
      <c r="F945" s="3"/>
      <c r="I945" s="3"/>
      <c r="J945" s="3"/>
      <c r="K945" s="3"/>
      <c r="L945" s="3"/>
      <c r="M945" s="3"/>
      <c r="N945" s="3"/>
      <c r="O945" s="3"/>
    </row>
    <row r="946" ht="15.75" customHeight="1">
      <c r="A946" s="3"/>
      <c r="B946" s="3"/>
      <c r="C946" s="3"/>
      <c r="D946" s="3"/>
      <c r="E946" s="3"/>
      <c r="F946" s="3"/>
      <c r="I946" s="3"/>
      <c r="J946" s="3"/>
      <c r="K946" s="3"/>
      <c r="L946" s="3"/>
      <c r="M946" s="3"/>
      <c r="N946" s="3"/>
      <c r="O946" s="3"/>
    </row>
    <row r="947" ht="15.75" customHeight="1">
      <c r="A947" s="3"/>
      <c r="B947" s="3"/>
      <c r="C947" s="3"/>
      <c r="D947" s="3"/>
      <c r="E947" s="3"/>
      <c r="F947" s="3"/>
      <c r="I947" s="3"/>
      <c r="J947" s="3"/>
      <c r="K947" s="3"/>
      <c r="L947" s="3"/>
      <c r="M947" s="3"/>
      <c r="N947" s="3"/>
      <c r="O947" s="3"/>
    </row>
    <row r="948" ht="15.75" customHeight="1">
      <c r="A948" s="3"/>
      <c r="B948" s="3"/>
      <c r="C948" s="3"/>
      <c r="D948" s="3"/>
      <c r="E948" s="3"/>
      <c r="F948" s="3"/>
      <c r="I948" s="3"/>
      <c r="J948" s="3"/>
      <c r="K948" s="3"/>
      <c r="L948" s="3"/>
      <c r="M948" s="3"/>
      <c r="N948" s="3"/>
      <c r="O948" s="3"/>
    </row>
    <row r="949" ht="15.75" customHeight="1">
      <c r="A949" s="3"/>
      <c r="B949" s="3"/>
      <c r="C949" s="3"/>
      <c r="D949" s="3"/>
      <c r="E949" s="3"/>
      <c r="F949" s="3"/>
      <c r="I949" s="3"/>
      <c r="J949" s="3"/>
      <c r="K949" s="3"/>
      <c r="L949" s="3"/>
      <c r="M949" s="3"/>
      <c r="N949" s="3"/>
      <c r="O949" s="3"/>
    </row>
    <row r="950" ht="15.75" customHeight="1">
      <c r="A950" s="3"/>
      <c r="B950" s="3"/>
      <c r="C950" s="3"/>
      <c r="D950" s="3"/>
      <c r="E950" s="3"/>
      <c r="F950" s="3"/>
      <c r="I950" s="3"/>
      <c r="J950" s="3"/>
      <c r="K950" s="3"/>
      <c r="L950" s="3"/>
      <c r="M950" s="3"/>
      <c r="N950" s="3"/>
      <c r="O950" s="3"/>
    </row>
    <row r="951" ht="15.75" customHeight="1">
      <c r="A951" s="3"/>
      <c r="B951" s="3"/>
      <c r="C951" s="3"/>
      <c r="D951" s="3"/>
      <c r="E951" s="3"/>
      <c r="F951" s="3"/>
      <c r="I951" s="3"/>
      <c r="J951" s="3"/>
      <c r="K951" s="3"/>
      <c r="L951" s="3"/>
      <c r="M951" s="3"/>
      <c r="N951" s="3"/>
      <c r="O951" s="3"/>
    </row>
    <row r="952" ht="15.75" customHeight="1">
      <c r="A952" s="3"/>
      <c r="B952" s="3"/>
      <c r="C952" s="3"/>
      <c r="D952" s="3"/>
      <c r="E952" s="3"/>
      <c r="F952" s="3"/>
      <c r="I952" s="3"/>
      <c r="J952" s="3"/>
      <c r="K952" s="3"/>
      <c r="L952" s="3"/>
      <c r="M952" s="3"/>
      <c r="N952" s="3"/>
      <c r="O952" s="3"/>
    </row>
    <row r="953" ht="15.75" customHeight="1">
      <c r="A953" s="3"/>
      <c r="B953" s="3"/>
      <c r="C953" s="3"/>
      <c r="D953" s="3"/>
      <c r="E953" s="3"/>
      <c r="F953" s="3"/>
      <c r="I953" s="3"/>
      <c r="J953" s="3"/>
      <c r="K953" s="3"/>
      <c r="L953" s="3"/>
      <c r="M953" s="3"/>
      <c r="N953" s="3"/>
      <c r="O953" s="3"/>
    </row>
    <row r="954" ht="15.75" customHeight="1">
      <c r="A954" s="3"/>
      <c r="B954" s="3"/>
      <c r="C954" s="3"/>
      <c r="D954" s="3"/>
      <c r="E954" s="3"/>
      <c r="F954" s="3"/>
      <c r="I954" s="3"/>
      <c r="J954" s="3"/>
      <c r="K954" s="3"/>
      <c r="L954" s="3"/>
      <c r="M954" s="3"/>
      <c r="N954" s="3"/>
      <c r="O954" s="3"/>
    </row>
    <row r="955" ht="15.75" customHeight="1">
      <c r="A955" s="3"/>
      <c r="B955" s="3"/>
      <c r="C955" s="3"/>
      <c r="D955" s="3"/>
      <c r="E955" s="3"/>
      <c r="F955" s="3"/>
      <c r="I955" s="3"/>
      <c r="J955" s="3"/>
      <c r="K955" s="3"/>
      <c r="L955" s="3"/>
      <c r="M955" s="3"/>
      <c r="N955" s="3"/>
      <c r="O955" s="3"/>
    </row>
    <row r="956" ht="15.75" customHeight="1">
      <c r="A956" s="3"/>
      <c r="B956" s="3"/>
      <c r="C956" s="3"/>
      <c r="D956" s="3"/>
      <c r="E956" s="3"/>
      <c r="F956" s="3"/>
      <c r="I956" s="3"/>
      <c r="J956" s="3"/>
      <c r="K956" s="3"/>
      <c r="L956" s="3"/>
      <c r="M956" s="3"/>
      <c r="N956" s="3"/>
      <c r="O956" s="3"/>
    </row>
    <row r="957" ht="15.75" customHeight="1">
      <c r="A957" s="3"/>
      <c r="B957" s="3"/>
      <c r="C957" s="3"/>
      <c r="D957" s="3"/>
      <c r="E957" s="3"/>
      <c r="F957" s="3"/>
      <c r="I957" s="3"/>
      <c r="J957" s="3"/>
      <c r="K957" s="3"/>
      <c r="L957" s="3"/>
      <c r="M957" s="3"/>
      <c r="N957" s="3"/>
      <c r="O957" s="3"/>
    </row>
    <row r="958" ht="15.75" customHeight="1">
      <c r="A958" s="3"/>
      <c r="B958" s="3"/>
      <c r="C958" s="3"/>
      <c r="D958" s="3"/>
      <c r="E958" s="3"/>
      <c r="F958" s="3"/>
      <c r="I958" s="3"/>
      <c r="J958" s="3"/>
      <c r="K958" s="3"/>
      <c r="L958" s="3"/>
      <c r="M958" s="3"/>
      <c r="N958" s="3"/>
      <c r="O958" s="3"/>
    </row>
    <row r="959" ht="15.75" customHeight="1">
      <c r="A959" s="3"/>
      <c r="B959" s="3"/>
      <c r="C959" s="3"/>
      <c r="D959" s="3"/>
      <c r="E959" s="3"/>
      <c r="F959" s="3"/>
      <c r="I959" s="3"/>
      <c r="J959" s="3"/>
      <c r="K959" s="3"/>
      <c r="L959" s="3"/>
      <c r="M959" s="3"/>
      <c r="N959" s="3"/>
      <c r="O959" s="3"/>
    </row>
    <row r="960" ht="15.75" customHeight="1">
      <c r="A960" s="3"/>
      <c r="B960" s="3"/>
      <c r="C960" s="3"/>
      <c r="D960" s="3"/>
      <c r="E960" s="3"/>
      <c r="F960" s="3"/>
      <c r="I960" s="3"/>
      <c r="J960" s="3"/>
      <c r="K960" s="3"/>
      <c r="L960" s="3"/>
      <c r="M960" s="3"/>
      <c r="N960" s="3"/>
      <c r="O960" s="3"/>
    </row>
    <row r="961" ht="15.75" customHeight="1">
      <c r="A961" s="3"/>
      <c r="B961" s="3"/>
      <c r="C961" s="3"/>
      <c r="D961" s="3"/>
      <c r="E961" s="3"/>
      <c r="F961" s="3"/>
      <c r="I961" s="3"/>
      <c r="J961" s="3"/>
      <c r="K961" s="3"/>
      <c r="L961" s="3"/>
      <c r="M961" s="3"/>
      <c r="N961" s="3"/>
      <c r="O961" s="3"/>
    </row>
    <row r="962" ht="15.75" customHeight="1">
      <c r="A962" s="3"/>
      <c r="B962" s="3"/>
      <c r="C962" s="3"/>
      <c r="D962" s="3"/>
      <c r="E962" s="3"/>
      <c r="F962" s="3"/>
      <c r="I962" s="3"/>
      <c r="J962" s="3"/>
      <c r="K962" s="3"/>
      <c r="L962" s="3"/>
      <c r="M962" s="3"/>
      <c r="N962" s="3"/>
      <c r="O962" s="3"/>
    </row>
    <row r="963" ht="15.75" customHeight="1">
      <c r="A963" s="3"/>
      <c r="B963" s="3"/>
      <c r="C963" s="3"/>
      <c r="D963" s="3"/>
      <c r="E963" s="3"/>
      <c r="F963" s="3"/>
      <c r="I963" s="3"/>
      <c r="J963" s="3"/>
      <c r="K963" s="3"/>
      <c r="L963" s="3"/>
      <c r="M963" s="3"/>
      <c r="N963" s="3"/>
      <c r="O963" s="3"/>
    </row>
    <row r="964" ht="15.75" customHeight="1">
      <c r="A964" s="3"/>
      <c r="B964" s="3"/>
      <c r="C964" s="3"/>
      <c r="D964" s="3"/>
      <c r="E964" s="3"/>
      <c r="F964" s="3"/>
      <c r="I964" s="3"/>
      <c r="J964" s="3"/>
      <c r="K964" s="3"/>
      <c r="L964" s="3"/>
      <c r="M964" s="3"/>
      <c r="N964" s="3"/>
      <c r="O964" s="3"/>
    </row>
    <row r="965" ht="15.75" customHeight="1">
      <c r="A965" s="3"/>
      <c r="B965" s="3"/>
      <c r="C965" s="3"/>
      <c r="D965" s="3"/>
      <c r="E965" s="3"/>
      <c r="F965" s="3"/>
      <c r="I965" s="3"/>
      <c r="J965" s="3"/>
      <c r="K965" s="3"/>
      <c r="L965" s="3"/>
      <c r="M965" s="3"/>
      <c r="N965" s="3"/>
      <c r="O965" s="3"/>
    </row>
    <row r="966" ht="15.75" customHeight="1">
      <c r="A966" s="3"/>
      <c r="B966" s="3"/>
      <c r="C966" s="3"/>
      <c r="D966" s="3"/>
      <c r="E966" s="3"/>
      <c r="F966" s="3"/>
      <c r="I966" s="3"/>
      <c r="J966" s="3"/>
      <c r="K966" s="3"/>
      <c r="L966" s="3"/>
      <c r="M966" s="3"/>
      <c r="N966" s="3"/>
      <c r="O966" s="3"/>
    </row>
    <row r="967" ht="15.75" customHeight="1">
      <c r="A967" s="3"/>
      <c r="B967" s="3"/>
      <c r="C967" s="3"/>
      <c r="D967" s="3"/>
      <c r="E967" s="3"/>
      <c r="F967" s="3"/>
      <c r="I967" s="3"/>
      <c r="J967" s="3"/>
      <c r="K967" s="3"/>
      <c r="L967" s="3"/>
      <c r="M967" s="3"/>
      <c r="N967" s="3"/>
      <c r="O967" s="3"/>
    </row>
    <row r="968" ht="15.75" customHeight="1">
      <c r="A968" s="3"/>
      <c r="B968" s="3"/>
      <c r="C968" s="3"/>
      <c r="D968" s="3"/>
      <c r="E968" s="3"/>
      <c r="F968" s="3"/>
      <c r="I968" s="3"/>
      <c r="J968" s="3"/>
      <c r="K968" s="3"/>
      <c r="L968" s="3"/>
      <c r="M968" s="3"/>
      <c r="N968" s="3"/>
      <c r="O968" s="3"/>
    </row>
    <row r="969" ht="15.75" customHeight="1">
      <c r="A969" s="3"/>
      <c r="B969" s="3"/>
      <c r="C969" s="3"/>
      <c r="D969" s="3"/>
      <c r="E969" s="3"/>
      <c r="F969" s="3"/>
      <c r="I969" s="3"/>
      <c r="J969" s="3"/>
      <c r="K969" s="3"/>
      <c r="L969" s="3"/>
      <c r="M969" s="3"/>
      <c r="N969" s="3"/>
      <c r="O969" s="3"/>
    </row>
    <row r="970" ht="15.75" customHeight="1">
      <c r="A970" s="3"/>
      <c r="B970" s="3"/>
      <c r="C970" s="3"/>
      <c r="D970" s="3"/>
      <c r="E970" s="3"/>
      <c r="F970" s="3"/>
      <c r="I970" s="3"/>
      <c r="J970" s="3"/>
      <c r="K970" s="3"/>
      <c r="L970" s="3"/>
      <c r="M970" s="3"/>
      <c r="N970" s="3"/>
      <c r="O970" s="3"/>
    </row>
    <row r="971" ht="15.75" customHeight="1">
      <c r="A971" s="3"/>
      <c r="B971" s="3"/>
      <c r="C971" s="3"/>
      <c r="D971" s="3"/>
      <c r="E971" s="3"/>
      <c r="F971" s="3"/>
      <c r="I971" s="3"/>
      <c r="J971" s="3"/>
      <c r="K971" s="3"/>
      <c r="L971" s="3"/>
      <c r="M971" s="3"/>
      <c r="N971" s="3"/>
      <c r="O971" s="3"/>
    </row>
    <row r="972" ht="15.75" customHeight="1">
      <c r="A972" s="3"/>
      <c r="B972" s="3"/>
      <c r="C972" s="3"/>
      <c r="D972" s="3"/>
      <c r="E972" s="3"/>
      <c r="F972" s="3"/>
      <c r="I972" s="3"/>
      <c r="J972" s="3"/>
      <c r="K972" s="3"/>
      <c r="L972" s="3"/>
      <c r="M972" s="3"/>
      <c r="N972" s="3"/>
      <c r="O972" s="3"/>
    </row>
    <row r="973" ht="15.75" customHeight="1">
      <c r="A973" s="3"/>
      <c r="B973" s="3"/>
      <c r="C973" s="3"/>
      <c r="D973" s="3"/>
      <c r="E973" s="3"/>
      <c r="F973" s="3"/>
      <c r="I973" s="3"/>
      <c r="J973" s="3"/>
      <c r="K973" s="3"/>
      <c r="L973" s="3"/>
      <c r="M973" s="3"/>
      <c r="N973" s="3"/>
      <c r="O973" s="3"/>
    </row>
    <row r="974" ht="15.75" customHeight="1">
      <c r="A974" s="3"/>
      <c r="B974" s="3"/>
      <c r="C974" s="3"/>
      <c r="D974" s="3"/>
      <c r="E974" s="3"/>
      <c r="F974" s="3"/>
      <c r="I974" s="3"/>
      <c r="J974" s="3"/>
      <c r="K974" s="3"/>
      <c r="L974" s="3"/>
      <c r="M974" s="3"/>
      <c r="N974" s="3"/>
      <c r="O974" s="3"/>
    </row>
    <row r="975" ht="15.75" customHeight="1">
      <c r="A975" s="3"/>
      <c r="B975" s="3"/>
      <c r="C975" s="3"/>
      <c r="D975" s="3"/>
      <c r="E975" s="3"/>
      <c r="F975" s="3"/>
      <c r="I975" s="3"/>
      <c r="J975" s="3"/>
      <c r="K975" s="3"/>
      <c r="L975" s="3"/>
      <c r="M975" s="3"/>
      <c r="N975" s="3"/>
      <c r="O975" s="3"/>
    </row>
    <row r="976" ht="15.75" customHeight="1">
      <c r="A976" s="3"/>
      <c r="B976" s="3"/>
      <c r="C976" s="3"/>
      <c r="D976" s="3"/>
      <c r="E976" s="3"/>
      <c r="F976" s="3"/>
      <c r="I976" s="3"/>
      <c r="J976" s="3"/>
      <c r="K976" s="3"/>
      <c r="L976" s="3"/>
      <c r="M976" s="3"/>
      <c r="N976" s="3"/>
      <c r="O976" s="3"/>
    </row>
    <row r="977" ht="15.75" customHeight="1">
      <c r="A977" s="3"/>
      <c r="B977" s="3"/>
      <c r="C977" s="3"/>
      <c r="D977" s="3"/>
      <c r="E977" s="3"/>
      <c r="F977" s="3"/>
      <c r="I977" s="3"/>
      <c r="J977" s="3"/>
      <c r="K977" s="3"/>
      <c r="L977" s="3"/>
      <c r="M977" s="3"/>
      <c r="N977" s="3"/>
      <c r="O977" s="3"/>
    </row>
    <row r="978" ht="15.75" customHeight="1">
      <c r="A978" s="3"/>
      <c r="B978" s="3"/>
      <c r="C978" s="3"/>
      <c r="D978" s="3"/>
      <c r="E978" s="3"/>
      <c r="F978" s="3"/>
      <c r="I978" s="3"/>
      <c r="J978" s="3"/>
      <c r="K978" s="3"/>
      <c r="L978" s="3"/>
      <c r="M978" s="3"/>
      <c r="N978" s="3"/>
      <c r="O978" s="3"/>
    </row>
    <row r="979" ht="15.75" customHeight="1">
      <c r="A979" s="3"/>
      <c r="B979" s="3"/>
      <c r="C979" s="3"/>
      <c r="D979" s="3"/>
      <c r="E979" s="3"/>
      <c r="F979" s="3"/>
      <c r="I979" s="3"/>
      <c r="J979" s="3"/>
      <c r="K979" s="3"/>
      <c r="L979" s="3"/>
      <c r="M979" s="3"/>
      <c r="N979" s="3"/>
      <c r="O979" s="3"/>
    </row>
    <row r="980" ht="15.75" customHeight="1">
      <c r="A980" s="3"/>
      <c r="B980" s="3"/>
      <c r="C980" s="3"/>
      <c r="D980" s="3"/>
      <c r="E980" s="3"/>
      <c r="F980" s="3"/>
      <c r="I980" s="3"/>
      <c r="J980" s="3"/>
      <c r="K980" s="3"/>
      <c r="L980" s="3"/>
      <c r="M980" s="3"/>
      <c r="N980" s="3"/>
      <c r="O980" s="3"/>
    </row>
    <row r="981" ht="15.75" customHeight="1">
      <c r="A981" s="3"/>
      <c r="B981" s="3"/>
      <c r="C981" s="3"/>
      <c r="D981" s="3"/>
      <c r="E981" s="3"/>
      <c r="F981" s="3"/>
      <c r="I981" s="3"/>
      <c r="J981" s="3"/>
      <c r="K981" s="3"/>
      <c r="L981" s="3"/>
      <c r="M981" s="3"/>
      <c r="N981" s="3"/>
      <c r="O981" s="3"/>
    </row>
    <row r="982" ht="15.75" customHeight="1">
      <c r="A982" s="3"/>
      <c r="B982" s="3"/>
      <c r="C982" s="3"/>
      <c r="D982" s="3"/>
      <c r="E982" s="3"/>
      <c r="F982" s="3"/>
      <c r="I982" s="3"/>
      <c r="J982" s="3"/>
      <c r="K982" s="3"/>
      <c r="L982" s="3"/>
      <c r="M982" s="3"/>
      <c r="N982" s="3"/>
      <c r="O982" s="3"/>
    </row>
    <row r="983" ht="15.75" customHeight="1">
      <c r="A983" s="3"/>
      <c r="B983" s="3"/>
      <c r="C983" s="3"/>
      <c r="D983" s="3"/>
      <c r="E983" s="3"/>
      <c r="F983" s="3"/>
      <c r="I983" s="3"/>
      <c r="J983" s="3"/>
      <c r="K983" s="3"/>
      <c r="L983" s="3"/>
      <c r="M983" s="3"/>
      <c r="N983" s="3"/>
      <c r="O983" s="3"/>
    </row>
    <row r="984" ht="15.75" customHeight="1">
      <c r="A984" s="3"/>
      <c r="B984" s="3"/>
      <c r="C984" s="3"/>
      <c r="D984" s="3"/>
      <c r="E984" s="3"/>
      <c r="F984" s="3"/>
      <c r="I984" s="3"/>
      <c r="J984" s="3"/>
      <c r="K984" s="3"/>
      <c r="L984" s="3"/>
      <c r="M984" s="3"/>
      <c r="N984" s="3"/>
      <c r="O984" s="3"/>
    </row>
    <row r="985" ht="15.75" customHeight="1">
      <c r="A985" s="3"/>
      <c r="B985" s="3"/>
      <c r="C985" s="3"/>
      <c r="D985" s="3"/>
      <c r="E985" s="3"/>
      <c r="F985" s="3"/>
      <c r="I985" s="3"/>
      <c r="J985" s="3"/>
      <c r="K985" s="3"/>
      <c r="L985" s="3"/>
      <c r="M985" s="3"/>
      <c r="N985" s="3"/>
      <c r="O985" s="3"/>
    </row>
    <row r="986" ht="15.75" customHeight="1">
      <c r="A986" s="3"/>
      <c r="B986" s="3"/>
      <c r="C986" s="3"/>
      <c r="D986" s="3"/>
      <c r="E986" s="3"/>
      <c r="F986" s="3"/>
      <c r="I986" s="3"/>
      <c r="J986" s="3"/>
      <c r="K986" s="3"/>
      <c r="L986" s="3"/>
      <c r="M986" s="3"/>
      <c r="N986" s="3"/>
      <c r="O986" s="3"/>
    </row>
    <row r="987" ht="15.75" customHeight="1">
      <c r="A987" s="3"/>
      <c r="B987" s="3"/>
      <c r="C987" s="3"/>
      <c r="D987" s="3"/>
      <c r="E987" s="3"/>
      <c r="F987" s="3"/>
      <c r="I987" s="3"/>
      <c r="J987" s="3"/>
      <c r="K987" s="3"/>
      <c r="L987" s="3"/>
      <c r="M987" s="3"/>
      <c r="N987" s="3"/>
      <c r="O987" s="3"/>
    </row>
    <row r="988" ht="15.75" customHeight="1">
      <c r="A988" s="3"/>
      <c r="B988" s="3"/>
      <c r="C988" s="3"/>
      <c r="D988" s="3"/>
      <c r="E988" s="3"/>
      <c r="F988" s="3"/>
      <c r="I988" s="3"/>
      <c r="J988" s="3"/>
      <c r="K988" s="3"/>
      <c r="L988" s="3"/>
      <c r="M988" s="3"/>
      <c r="N988" s="3"/>
      <c r="O988" s="3"/>
    </row>
    <row r="989" ht="15.75" customHeight="1">
      <c r="A989" s="3"/>
      <c r="B989" s="3"/>
      <c r="C989" s="3"/>
      <c r="D989" s="3"/>
      <c r="E989" s="3"/>
      <c r="F989" s="3"/>
      <c r="I989" s="3"/>
      <c r="J989" s="3"/>
      <c r="K989" s="3"/>
      <c r="L989" s="3"/>
      <c r="M989" s="3"/>
      <c r="N989" s="3"/>
      <c r="O989" s="3"/>
    </row>
    <row r="990" ht="15.75" customHeight="1">
      <c r="A990" s="3"/>
      <c r="B990" s="3"/>
      <c r="C990" s="3"/>
      <c r="D990" s="3"/>
      <c r="E990" s="3"/>
      <c r="F990" s="3"/>
      <c r="I990" s="3"/>
      <c r="J990" s="3"/>
      <c r="K990" s="3"/>
      <c r="L990" s="3"/>
      <c r="M990" s="3"/>
      <c r="N990" s="3"/>
      <c r="O990" s="3"/>
    </row>
    <row r="991" ht="15.75" customHeight="1">
      <c r="A991" s="3"/>
      <c r="B991" s="3"/>
      <c r="C991" s="3"/>
      <c r="D991" s="3"/>
      <c r="E991" s="3"/>
      <c r="F991" s="3"/>
      <c r="I991" s="3"/>
      <c r="J991" s="3"/>
      <c r="K991" s="3"/>
      <c r="L991" s="3"/>
      <c r="M991" s="3"/>
      <c r="N991" s="3"/>
      <c r="O991" s="3"/>
    </row>
    <row r="992" ht="15.75" customHeight="1">
      <c r="A992" s="3"/>
      <c r="B992" s="3"/>
      <c r="C992" s="3"/>
      <c r="D992" s="3"/>
      <c r="E992" s="3"/>
      <c r="F992" s="3"/>
      <c r="I992" s="3"/>
      <c r="J992" s="3"/>
      <c r="K992" s="3"/>
      <c r="L992" s="3"/>
      <c r="M992" s="3"/>
      <c r="N992" s="3"/>
      <c r="O992" s="3"/>
    </row>
    <row r="993" ht="15.75" customHeight="1">
      <c r="A993" s="3"/>
      <c r="B993" s="3"/>
      <c r="C993" s="3"/>
      <c r="D993" s="3"/>
      <c r="E993" s="3"/>
      <c r="F993" s="3"/>
      <c r="I993" s="3"/>
      <c r="J993" s="3"/>
      <c r="K993" s="3"/>
      <c r="L993" s="3"/>
      <c r="M993" s="3"/>
      <c r="N993" s="3"/>
      <c r="O993" s="3"/>
    </row>
    <row r="994" ht="15.75" customHeight="1">
      <c r="A994" s="3"/>
      <c r="B994" s="3"/>
      <c r="C994" s="3"/>
      <c r="D994" s="3"/>
      <c r="E994" s="3"/>
      <c r="F994" s="3"/>
      <c r="I994" s="3"/>
      <c r="J994" s="3"/>
      <c r="K994" s="3"/>
      <c r="L994" s="3"/>
      <c r="M994" s="3"/>
      <c r="N994" s="3"/>
      <c r="O994" s="3"/>
    </row>
    <row r="995" ht="15.75" customHeight="1">
      <c r="A995" s="3"/>
      <c r="B995" s="3"/>
      <c r="C995" s="3"/>
      <c r="D995" s="3"/>
      <c r="E995" s="3"/>
      <c r="F995" s="3"/>
      <c r="I995" s="3"/>
      <c r="J995" s="3"/>
      <c r="K995" s="3"/>
      <c r="L995" s="3"/>
      <c r="M995" s="3"/>
      <c r="N995" s="3"/>
      <c r="O995" s="3"/>
    </row>
    <row r="996" ht="15.75" customHeight="1">
      <c r="A996" s="3"/>
      <c r="B996" s="3"/>
      <c r="C996" s="3"/>
      <c r="D996" s="3"/>
      <c r="E996" s="3"/>
      <c r="F996" s="3"/>
      <c r="I996" s="3"/>
      <c r="J996" s="3"/>
      <c r="K996" s="3"/>
      <c r="L996" s="3"/>
      <c r="M996" s="3"/>
      <c r="N996" s="3"/>
      <c r="O996" s="3"/>
    </row>
    <row r="997" ht="15.75" customHeight="1">
      <c r="A997" s="3"/>
      <c r="B997" s="3"/>
      <c r="C997" s="3"/>
      <c r="D997" s="3"/>
      <c r="E997" s="3"/>
      <c r="F997" s="3"/>
      <c r="I997" s="3"/>
      <c r="J997" s="3"/>
      <c r="K997" s="3"/>
      <c r="L997" s="3"/>
      <c r="M997" s="3"/>
      <c r="N997" s="3"/>
      <c r="O997" s="3"/>
    </row>
    <row r="998" ht="15.75" customHeight="1">
      <c r="A998" s="3"/>
      <c r="B998" s="3"/>
      <c r="C998" s="3"/>
      <c r="D998" s="3"/>
      <c r="E998" s="3"/>
      <c r="F998" s="3"/>
      <c r="I998" s="3"/>
      <c r="J998" s="3"/>
      <c r="K998" s="3"/>
      <c r="L998" s="3"/>
      <c r="M998" s="3"/>
      <c r="N998" s="3"/>
      <c r="O998" s="3"/>
    </row>
    <row r="999" ht="15.75" customHeight="1">
      <c r="A999" s="3"/>
      <c r="B999" s="3"/>
      <c r="C999" s="3"/>
      <c r="D999" s="3"/>
      <c r="E999" s="3"/>
      <c r="F999" s="3"/>
      <c r="I999" s="3"/>
      <c r="J999" s="3"/>
      <c r="K999" s="3"/>
      <c r="L999" s="3"/>
      <c r="M999" s="3"/>
      <c r="N999" s="3"/>
      <c r="O999" s="3"/>
    </row>
    <row r="1000" ht="15.75" customHeight="1">
      <c r="A1000" s="3"/>
      <c r="B1000" s="3"/>
      <c r="C1000" s="3"/>
      <c r="D1000" s="3"/>
      <c r="E1000" s="3"/>
      <c r="F1000" s="3"/>
      <c r="I1000" s="3"/>
      <c r="J1000" s="3"/>
      <c r="K1000" s="3"/>
      <c r="L1000" s="3"/>
      <c r="M1000" s="3"/>
      <c r="N1000" s="3"/>
      <c r="O1000" s="3"/>
    </row>
    <row r="1001" ht="15.75" customHeight="1">
      <c r="A1001" s="3"/>
      <c r="B1001" s="3"/>
      <c r="C1001" s="3"/>
      <c r="D1001" s="3"/>
      <c r="E1001" s="3"/>
      <c r="F1001" s="3"/>
      <c r="I1001" s="3"/>
      <c r="J1001" s="3"/>
      <c r="K1001" s="3"/>
      <c r="L1001" s="3"/>
      <c r="M1001" s="3"/>
      <c r="N1001" s="3"/>
      <c r="O1001" s="3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6B53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6.13"/>
    <col customWidth="1" min="2" max="2" width="16.38"/>
    <col customWidth="1" min="3" max="3" width="12.63"/>
    <col customWidth="1" min="4" max="4" width="4.75"/>
    <col customWidth="1" min="5" max="5" width="56.13"/>
    <col customWidth="1" min="6" max="6" width="13.38"/>
    <col customWidth="1" min="7" max="7" width="11.63"/>
    <col customWidth="1" min="8" max="8" width="4.38"/>
    <col customWidth="1" min="9" max="9" width="45.63"/>
    <col customWidth="1" min="11" max="11" width="11.25"/>
  </cols>
  <sheetData>
    <row r="1" ht="15.75" customHeight="1">
      <c r="A1" s="69" t="s">
        <v>127</v>
      </c>
      <c r="B1" s="69" t="s">
        <v>81</v>
      </c>
      <c r="C1" s="69" t="s">
        <v>128</v>
      </c>
      <c r="D1" s="69"/>
      <c r="E1" s="69" t="s">
        <v>127</v>
      </c>
      <c r="F1" s="69" t="s">
        <v>81</v>
      </c>
      <c r="G1" s="69" t="s">
        <v>128</v>
      </c>
      <c r="H1" s="3"/>
      <c r="I1" s="69" t="s">
        <v>127</v>
      </c>
      <c r="J1" s="69" t="s">
        <v>81</v>
      </c>
      <c r="K1" s="119" t="s">
        <v>128</v>
      </c>
    </row>
    <row r="2" ht="15.75" customHeight="1">
      <c r="A2" s="120" t="s">
        <v>129</v>
      </c>
      <c r="B2" s="3"/>
      <c r="C2" s="3"/>
      <c r="D2" s="3"/>
      <c r="E2" s="121" t="s">
        <v>130</v>
      </c>
      <c r="F2" s="3"/>
      <c r="G2" s="3"/>
      <c r="H2" s="3"/>
      <c r="I2" s="122" t="s">
        <v>131</v>
      </c>
      <c r="K2" s="3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5.75" customHeight="1">
      <c r="A3" s="72" t="s">
        <v>132</v>
      </c>
      <c r="B3" s="72" t="s">
        <v>55</v>
      </c>
      <c r="C3" s="73">
        <v>15.0</v>
      </c>
      <c r="D3" s="3"/>
      <c r="E3" s="72" t="s">
        <v>133</v>
      </c>
      <c r="F3" s="72" t="s">
        <v>134</v>
      </c>
      <c r="G3" s="73">
        <v>1.0</v>
      </c>
      <c r="H3" s="3"/>
      <c r="I3" s="123" t="s">
        <v>135</v>
      </c>
      <c r="J3" s="123" t="s">
        <v>110</v>
      </c>
      <c r="K3" s="124">
        <v>0.15</v>
      </c>
    </row>
    <row r="4" ht="15.75" customHeight="1">
      <c r="A4" s="72" t="s">
        <v>136</v>
      </c>
      <c r="B4" s="72" t="s">
        <v>99</v>
      </c>
      <c r="C4" s="125">
        <v>6500.0</v>
      </c>
      <c r="D4" s="3"/>
      <c r="E4" s="72" t="s">
        <v>137</v>
      </c>
      <c r="F4" s="72" t="s">
        <v>138</v>
      </c>
      <c r="G4" s="73">
        <v>1.0</v>
      </c>
      <c r="H4" s="3"/>
      <c r="I4" s="72" t="s">
        <v>139</v>
      </c>
      <c r="J4" s="126" t="s">
        <v>99</v>
      </c>
      <c r="K4" s="127">
        <f>'5. Payroll and Headcount'!P48</f>
        <v>622245.8333</v>
      </c>
    </row>
    <row r="5" ht="15.75" customHeight="1">
      <c r="A5" s="72" t="s">
        <v>140</v>
      </c>
      <c r="B5" s="72" t="s">
        <v>110</v>
      </c>
      <c r="C5" s="128">
        <v>0.03</v>
      </c>
      <c r="D5" s="3"/>
      <c r="E5" s="72" t="s">
        <v>141</v>
      </c>
      <c r="F5" s="72" t="s">
        <v>138</v>
      </c>
      <c r="G5" s="73">
        <v>1.0</v>
      </c>
      <c r="H5" s="3"/>
      <c r="I5" s="79" t="s">
        <v>142</v>
      </c>
      <c r="J5" s="126" t="s">
        <v>99</v>
      </c>
      <c r="K5" s="129">
        <v>45.0</v>
      </c>
    </row>
    <row r="6" ht="15.75" customHeight="1">
      <c r="A6" s="72" t="s">
        <v>143</v>
      </c>
      <c r="B6" s="72" t="s">
        <v>144</v>
      </c>
      <c r="C6" s="73">
        <v>5.0</v>
      </c>
      <c r="D6" s="3"/>
      <c r="E6" s="72" t="s">
        <v>145</v>
      </c>
      <c r="F6" s="72" t="s">
        <v>146</v>
      </c>
      <c r="G6" s="73">
        <v>7.0</v>
      </c>
      <c r="H6" s="3"/>
      <c r="I6" s="72" t="s">
        <v>147</v>
      </c>
      <c r="J6" s="126" t="s">
        <v>99</v>
      </c>
      <c r="K6" s="129">
        <v>80.0</v>
      </c>
    </row>
    <row r="7" ht="15.75" customHeight="1">
      <c r="A7" s="72" t="s">
        <v>148</v>
      </c>
      <c r="B7" s="72" t="s">
        <v>99</v>
      </c>
      <c r="C7" s="125">
        <v>1000.0</v>
      </c>
      <c r="D7" s="3"/>
      <c r="E7" s="72" t="s">
        <v>149</v>
      </c>
      <c r="F7" s="72" t="s">
        <v>138</v>
      </c>
      <c r="G7" s="73">
        <v>1.0</v>
      </c>
      <c r="H7" s="3"/>
      <c r="I7" s="72" t="s">
        <v>150</v>
      </c>
      <c r="J7" s="126" t="s">
        <v>110</v>
      </c>
      <c r="K7" s="130">
        <v>0.03</v>
      </c>
    </row>
    <row r="8" ht="15.75" customHeight="1">
      <c r="A8" s="72" t="s">
        <v>151</v>
      </c>
      <c r="B8" s="72" t="s">
        <v>55</v>
      </c>
      <c r="C8" s="73">
        <v>100.0</v>
      </c>
      <c r="D8" s="3"/>
      <c r="E8" s="72" t="s">
        <v>152</v>
      </c>
      <c r="F8" s="72" t="s">
        <v>153</v>
      </c>
      <c r="G8" s="73">
        <v>10.0</v>
      </c>
      <c r="H8" s="3"/>
      <c r="I8" s="3"/>
      <c r="J8" s="126"/>
      <c r="K8" s="131"/>
    </row>
    <row r="9" ht="15.75" customHeight="1">
      <c r="A9" s="72" t="s">
        <v>154</v>
      </c>
      <c r="B9" s="72" t="s">
        <v>99</v>
      </c>
      <c r="C9" s="125">
        <v>850.0</v>
      </c>
      <c r="D9" s="69"/>
      <c r="E9" s="72" t="s">
        <v>155</v>
      </c>
      <c r="F9" s="72" t="s">
        <v>146</v>
      </c>
      <c r="G9" s="73">
        <v>10.0</v>
      </c>
      <c r="H9" s="3"/>
      <c r="I9" s="3"/>
      <c r="K9" s="3"/>
    </row>
    <row r="10" ht="15.75" customHeight="1">
      <c r="A10" s="72" t="s">
        <v>104</v>
      </c>
      <c r="B10" s="72" t="s">
        <v>55</v>
      </c>
      <c r="C10" s="73">
        <v>100.0</v>
      </c>
      <c r="D10" s="69"/>
      <c r="E10" s="72" t="s">
        <v>156</v>
      </c>
      <c r="F10" s="72" t="s">
        <v>138</v>
      </c>
      <c r="G10" s="73">
        <v>3.0</v>
      </c>
      <c r="H10" s="3"/>
      <c r="I10" s="122" t="s">
        <v>56</v>
      </c>
      <c r="J10" s="126"/>
      <c r="K10" s="131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5.75" customHeight="1">
      <c r="A11" s="72" t="s">
        <v>157</v>
      </c>
      <c r="B11" s="72" t="s">
        <v>110</v>
      </c>
      <c r="C11" s="128">
        <v>0.02</v>
      </c>
      <c r="D11" s="3"/>
      <c r="E11" s="72" t="s">
        <v>158</v>
      </c>
      <c r="F11" s="72" t="s">
        <v>146</v>
      </c>
      <c r="G11" s="73">
        <v>8.0</v>
      </c>
      <c r="H11" s="3"/>
      <c r="I11" s="72" t="s">
        <v>159</v>
      </c>
      <c r="J11" s="126" t="s">
        <v>99</v>
      </c>
      <c r="K11" s="132">
        <v>226000.0</v>
      </c>
    </row>
    <row r="12" ht="15.75" customHeight="1">
      <c r="A12" s="3" t="s">
        <v>160</v>
      </c>
      <c r="B12" s="3" t="s">
        <v>99</v>
      </c>
      <c r="C12" s="133">
        <f>'2. Financial Summary'!$H$6</f>
        <v>7102.7255</v>
      </c>
      <c r="D12" s="3"/>
      <c r="E12" s="72" t="s">
        <v>161</v>
      </c>
      <c r="F12" s="72" t="s">
        <v>138</v>
      </c>
      <c r="G12" s="75">
        <f>G7+G10</f>
        <v>4</v>
      </c>
      <c r="H12" s="3"/>
      <c r="I12" s="72" t="s">
        <v>162</v>
      </c>
      <c r="J12" s="126" t="s">
        <v>99</v>
      </c>
      <c r="K12" s="134">
        <v>8000.0</v>
      </c>
    </row>
    <row r="13" ht="15.75" customHeight="1">
      <c r="A13" s="3"/>
      <c r="B13" s="120"/>
      <c r="C13" s="120"/>
      <c r="D13" s="3"/>
      <c r="E13" s="72" t="s">
        <v>163</v>
      </c>
      <c r="F13" s="72" t="s">
        <v>164</v>
      </c>
      <c r="G13" s="73">
        <v>1.0</v>
      </c>
      <c r="H13" s="3"/>
      <c r="I13" s="72" t="s">
        <v>165</v>
      </c>
      <c r="J13" s="126" t="s">
        <v>99</v>
      </c>
      <c r="K13" s="132">
        <v>200.0</v>
      </c>
    </row>
    <row r="14" ht="15.75" customHeight="1">
      <c r="A14" s="120" t="s">
        <v>166</v>
      </c>
      <c r="B14" s="69"/>
      <c r="C14" s="69"/>
      <c r="D14" s="3"/>
      <c r="E14" s="72" t="s">
        <v>167</v>
      </c>
      <c r="F14" s="72" t="s">
        <v>153</v>
      </c>
      <c r="G14" s="73">
        <v>1.0</v>
      </c>
      <c r="H14" s="3"/>
      <c r="I14" s="72" t="s">
        <v>168</v>
      </c>
      <c r="J14" s="126"/>
      <c r="K14" s="132">
        <v>2350.0</v>
      </c>
    </row>
    <row r="15" ht="15.75" customHeight="1">
      <c r="A15" s="72" t="s">
        <v>169</v>
      </c>
      <c r="B15" s="72" t="s">
        <v>99</v>
      </c>
      <c r="C15" s="135">
        <v>110000.0</v>
      </c>
      <c r="D15" s="3"/>
      <c r="E15" s="72" t="s">
        <v>170</v>
      </c>
      <c r="F15" s="72" t="s">
        <v>164</v>
      </c>
      <c r="G15" s="73">
        <v>0.33</v>
      </c>
      <c r="H15" s="3"/>
      <c r="I15" s="72" t="s">
        <v>171</v>
      </c>
      <c r="J15" s="126" t="s">
        <v>99</v>
      </c>
      <c r="K15" s="132">
        <v>8.5</v>
      </c>
    </row>
    <row r="16" ht="15.75" customHeight="1">
      <c r="A16" s="72" t="s">
        <v>172</v>
      </c>
      <c r="B16" s="72" t="s">
        <v>110</v>
      </c>
      <c r="C16" s="136">
        <v>0.2</v>
      </c>
      <c r="D16" s="3"/>
      <c r="E16" s="72" t="s">
        <v>173</v>
      </c>
      <c r="F16" s="72" t="s">
        <v>138</v>
      </c>
      <c r="G16" s="73">
        <v>2.0</v>
      </c>
      <c r="H16" s="3"/>
      <c r="I16" s="137" t="s">
        <v>174</v>
      </c>
      <c r="J16" s="138" t="s">
        <v>99</v>
      </c>
      <c r="K16" s="134">
        <v>18000.0</v>
      </c>
    </row>
    <row r="17" ht="15.75" customHeight="1">
      <c r="A17" s="72" t="s">
        <v>175</v>
      </c>
      <c r="B17" s="72" t="s">
        <v>110</v>
      </c>
      <c r="C17" s="139">
        <f>('2. Financial Summary'!H14-'2. Financial Summary'!F14)/'2. Financial Summary'!F14</f>
        <v>0.5366128463</v>
      </c>
      <c r="D17" s="3"/>
      <c r="E17" s="72" t="s">
        <v>176</v>
      </c>
      <c r="F17" s="72" t="s">
        <v>153</v>
      </c>
      <c r="G17" s="73">
        <v>4.0</v>
      </c>
      <c r="H17" s="120"/>
      <c r="I17" s="137" t="s">
        <v>177</v>
      </c>
      <c r="J17" s="138" t="s">
        <v>99</v>
      </c>
      <c r="K17" s="134">
        <v>12000.0</v>
      </c>
    </row>
    <row r="18" ht="15.75" customHeight="1">
      <c r="A18" s="72" t="s">
        <v>178</v>
      </c>
      <c r="B18" s="72" t="s">
        <v>99</v>
      </c>
      <c r="C18" s="135">
        <v>90000.0</v>
      </c>
      <c r="D18" s="3"/>
      <c r="E18" s="72" t="s">
        <v>179</v>
      </c>
      <c r="F18" s="72" t="s">
        <v>138</v>
      </c>
      <c r="G18" s="73">
        <v>2.0</v>
      </c>
      <c r="H18" s="69"/>
      <c r="I18" s="138" t="s">
        <v>180</v>
      </c>
      <c r="J18" s="138" t="s">
        <v>99</v>
      </c>
      <c r="K18" s="134">
        <v>6000.0</v>
      </c>
    </row>
    <row r="19" ht="15.75" customHeight="1">
      <c r="A19" s="72" t="s">
        <v>181</v>
      </c>
      <c r="B19" s="72" t="s">
        <v>110</v>
      </c>
      <c r="C19" s="136">
        <v>0.2</v>
      </c>
      <c r="D19" s="3"/>
      <c r="E19" s="72" t="s">
        <v>182</v>
      </c>
      <c r="F19" s="72" t="s">
        <v>138</v>
      </c>
      <c r="G19" s="73">
        <v>2.0</v>
      </c>
      <c r="H19" s="3"/>
      <c r="I19" s="69"/>
      <c r="J19" s="126"/>
      <c r="K19" s="127"/>
    </row>
    <row r="20" ht="15.75" customHeight="1">
      <c r="A20" s="72" t="s">
        <v>183</v>
      </c>
      <c r="B20" s="72" t="s">
        <v>110</v>
      </c>
      <c r="C20" s="136">
        <v>0.85</v>
      </c>
      <c r="D20" s="3"/>
      <c r="E20" s="72" t="s">
        <v>184</v>
      </c>
      <c r="F20" s="72" t="s">
        <v>153</v>
      </c>
      <c r="G20" s="73">
        <v>5.0</v>
      </c>
      <c r="H20" s="3"/>
      <c r="I20" s="140" t="s">
        <v>185</v>
      </c>
      <c r="J20" s="126"/>
      <c r="K20" s="127"/>
    </row>
    <row r="21" ht="15.75" customHeight="1">
      <c r="A21" s="72" t="s">
        <v>186</v>
      </c>
      <c r="B21" s="72" t="s">
        <v>99</v>
      </c>
      <c r="C21" s="135">
        <v>85000.0</v>
      </c>
      <c r="D21" s="69"/>
      <c r="E21" s="72" t="s">
        <v>187</v>
      </c>
      <c r="F21" s="72" t="s">
        <v>138</v>
      </c>
      <c r="G21" s="73">
        <v>1.0</v>
      </c>
      <c r="H21" s="3"/>
      <c r="I21" s="137" t="s">
        <v>188</v>
      </c>
      <c r="J21" s="138" t="s">
        <v>99</v>
      </c>
      <c r="K21" s="134">
        <v>2500.0</v>
      </c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5.75" customHeight="1">
      <c r="A22" s="72" t="s">
        <v>189</v>
      </c>
      <c r="B22" s="72" t="s">
        <v>110</v>
      </c>
      <c r="C22" s="136">
        <v>0.2</v>
      </c>
      <c r="D22" s="69"/>
      <c r="E22" s="72" t="s">
        <v>190</v>
      </c>
      <c r="F22" s="72" t="s">
        <v>138</v>
      </c>
      <c r="G22" s="73">
        <v>1.0</v>
      </c>
      <c r="H22" s="3"/>
      <c r="I22" s="137" t="s">
        <v>191</v>
      </c>
      <c r="J22" s="138" t="s">
        <v>99</v>
      </c>
      <c r="K22" s="134">
        <v>800.0</v>
      </c>
      <c r="L22" s="69"/>
    </row>
    <row r="23" ht="15.75" customHeight="1">
      <c r="A23" s="72" t="s">
        <v>192</v>
      </c>
      <c r="B23" s="72" t="s">
        <v>138</v>
      </c>
      <c r="C23" s="75">
        <f>'4. Revenue and Volume '!P4</f>
        <v>231</v>
      </c>
      <c r="D23" s="3"/>
      <c r="E23" s="3" t="s">
        <v>193</v>
      </c>
      <c r="F23" s="3" t="s">
        <v>110</v>
      </c>
      <c r="G23" s="128">
        <v>0.085</v>
      </c>
      <c r="H23" s="69"/>
      <c r="I23" s="137" t="s">
        <v>194</v>
      </c>
      <c r="J23" s="138" t="s">
        <v>99</v>
      </c>
      <c r="K23" s="134">
        <v>3200.0</v>
      </c>
    </row>
    <row r="24" ht="15.75" customHeight="1">
      <c r="A24" s="72" t="s">
        <v>195</v>
      </c>
      <c r="B24" s="72" t="s">
        <v>99</v>
      </c>
      <c r="C24" s="135">
        <v>65000.0</v>
      </c>
      <c r="D24" s="3"/>
      <c r="E24" s="3" t="s">
        <v>196</v>
      </c>
      <c r="F24" s="3" t="s">
        <v>99</v>
      </c>
      <c r="G24" s="125">
        <v>750.0</v>
      </c>
      <c r="H24" s="3"/>
      <c r="I24" s="141" t="s">
        <v>197</v>
      </c>
      <c r="J24" s="138" t="s">
        <v>99</v>
      </c>
      <c r="K24" s="134">
        <v>1500.0</v>
      </c>
    </row>
    <row r="25" ht="15.75" customHeight="1">
      <c r="A25" s="72" t="s">
        <v>198</v>
      </c>
      <c r="B25" s="72" t="s">
        <v>110</v>
      </c>
      <c r="C25" s="136">
        <v>0.1</v>
      </c>
      <c r="D25" s="3"/>
      <c r="E25" s="3" t="s">
        <v>199</v>
      </c>
      <c r="F25" s="3" t="s">
        <v>110</v>
      </c>
      <c r="G25" s="128">
        <v>0.065</v>
      </c>
      <c r="H25" s="120"/>
      <c r="I25" s="137" t="s">
        <v>200</v>
      </c>
      <c r="J25" s="138" t="s">
        <v>99</v>
      </c>
      <c r="K25" s="134">
        <v>15000.0</v>
      </c>
    </row>
    <row r="26" ht="15.75" customHeight="1">
      <c r="A26" s="85" t="s">
        <v>201</v>
      </c>
      <c r="B26" s="72" t="s">
        <v>110</v>
      </c>
      <c r="C26" s="124">
        <v>0.85</v>
      </c>
      <c r="D26" s="3"/>
      <c r="E26" s="72" t="s">
        <v>202</v>
      </c>
      <c r="F26" s="72" t="s">
        <v>99</v>
      </c>
      <c r="G26" s="135">
        <v>800.0</v>
      </c>
      <c r="H26" s="69"/>
      <c r="I26" s="120"/>
      <c r="J26" s="120"/>
      <c r="K26" s="142"/>
    </row>
    <row r="27" ht="15.75" customHeight="1">
      <c r="A27" s="72" t="s">
        <v>203</v>
      </c>
      <c r="B27" s="72" t="s">
        <v>99</v>
      </c>
      <c r="C27" s="135">
        <v>55000.0</v>
      </c>
      <c r="D27" s="3"/>
      <c r="E27" s="3"/>
      <c r="F27" s="120"/>
      <c r="G27" s="120"/>
      <c r="H27" s="3"/>
      <c r="I27" s="3"/>
      <c r="K27" s="3"/>
    </row>
    <row r="28" ht="15.75" customHeight="1">
      <c r="A28" s="72" t="s">
        <v>204</v>
      </c>
      <c r="B28" s="72" t="s">
        <v>110</v>
      </c>
      <c r="C28" s="136">
        <v>0.1</v>
      </c>
      <c r="D28" s="69"/>
      <c r="E28" s="120" t="s">
        <v>205</v>
      </c>
      <c r="F28" s="69"/>
      <c r="G28" s="69"/>
      <c r="H28" s="3"/>
      <c r="I28" s="102" t="s">
        <v>206</v>
      </c>
      <c r="J28" s="126"/>
      <c r="K28" s="131"/>
    </row>
    <row r="29" ht="15.75" customHeight="1">
      <c r="A29" s="72" t="s">
        <v>207</v>
      </c>
      <c r="B29" s="72" t="s">
        <v>110</v>
      </c>
      <c r="C29" s="124">
        <v>0.8</v>
      </c>
      <c r="D29" s="3"/>
      <c r="E29" s="126" t="s">
        <v>208</v>
      </c>
      <c r="F29" s="72" t="s">
        <v>55</v>
      </c>
      <c r="G29" s="74">
        <f>'4. Revenue and Volume '!P4</f>
        <v>231</v>
      </c>
      <c r="H29" s="3"/>
      <c r="I29" s="3" t="s">
        <v>209</v>
      </c>
      <c r="J29" s="126" t="s">
        <v>99</v>
      </c>
      <c r="K29" s="132">
        <v>26987.49</v>
      </c>
    </row>
    <row r="30" ht="15.75" customHeight="1">
      <c r="A30" s="72" t="s">
        <v>210</v>
      </c>
      <c r="B30" s="72" t="s">
        <v>99</v>
      </c>
      <c r="C30" s="135">
        <v>55000.0</v>
      </c>
      <c r="D30" s="3"/>
      <c r="E30" s="72" t="s">
        <v>211</v>
      </c>
      <c r="F30" s="72" t="s">
        <v>110</v>
      </c>
      <c r="G30" s="128">
        <v>0.02</v>
      </c>
      <c r="H30" s="3"/>
      <c r="I30" s="3" t="s">
        <v>212</v>
      </c>
      <c r="J30" s="126" t="s">
        <v>213</v>
      </c>
      <c r="K30" s="143">
        <v>7.0</v>
      </c>
    </row>
    <row r="31" ht="15.75" customHeight="1">
      <c r="A31" s="72" t="s">
        <v>214</v>
      </c>
      <c r="B31" s="72" t="s">
        <v>110</v>
      </c>
      <c r="C31" s="136">
        <v>0.1</v>
      </c>
      <c r="D31" s="3"/>
      <c r="E31" s="72" t="s">
        <v>215</v>
      </c>
      <c r="F31" s="72" t="s">
        <v>55</v>
      </c>
      <c r="G31" s="74">
        <f>('5. Payroll and Headcount'!C7*G9*C3)+('5. Payroll and Headcount'!C6*G6*C3)</f>
        <v>405</v>
      </c>
      <c r="H31" s="3"/>
      <c r="I31" s="3" t="s">
        <v>216</v>
      </c>
      <c r="J31" s="126" t="s">
        <v>213</v>
      </c>
      <c r="K31" s="143">
        <v>4.0</v>
      </c>
    </row>
    <row r="32" ht="15.75" customHeight="1">
      <c r="A32" s="72" t="s">
        <v>217</v>
      </c>
      <c r="B32" s="72" t="s">
        <v>110</v>
      </c>
      <c r="C32" s="136">
        <v>0.85</v>
      </c>
      <c r="D32" s="3"/>
      <c r="E32" s="3" t="s">
        <v>218</v>
      </c>
      <c r="F32" s="3" t="s">
        <v>55</v>
      </c>
      <c r="G32" s="144">
        <f>(C3*G9*'5. Payroll and Headcount'!P7)+('5. Payroll and Headcount'!P6*C3*G9)</f>
        <v>750</v>
      </c>
      <c r="H32" s="3"/>
      <c r="I32" s="3" t="s">
        <v>219</v>
      </c>
      <c r="J32" s="126" t="s">
        <v>213</v>
      </c>
      <c r="K32" s="143">
        <v>10.0</v>
      </c>
    </row>
    <row r="33" ht="15.75" customHeight="1">
      <c r="A33" s="72" t="s">
        <v>220</v>
      </c>
      <c r="B33" s="72" t="s">
        <v>99</v>
      </c>
      <c r="C33" s="135">
        <v>45000.0</v>
      </c>
      <c r="D33" s="3"/>
      <c r="E33" s="72" t="s">
        <v>221</v>
      </c>
      <c r="F33" s="72" t="s">
        <v>99</v>
      </c>
      <c r="G33" s="90">
        <f>G32*'2. Financial Summary'!$H$6</f>
        <v>5327044.125</v>
      </c>
      <c r="H33" s="3"/>
      <c r="I33" s="72" t="s">
        <v>222</v>
      </c>
      <c r="J33" s="72" t="s">
        <v>99</v>
      </c>
      <c r="K33" s="145">
        <v>180000.0</v>
      </c>
    </row>
    <row r="34" ht="15.75" customHeight="1">
      <c r="A34" s="72" t="s">
        <v>223</v>
      </c>
      <c r="B34" s="72" t="s">
        <v>99</v>
      </c>
      <c r="C34" s="135">
        <v>200.0</v>
      </c>
      <c r="D34" s="3"/>
      <c r="E34" s="72" t="s">
        <v>224</v>
      </c>
      <c r="F34" s="72" t="s">
        <v>99</v>
      </c>
      <c r="G34" s="3"/>
      <c r="H34" s="3"/>
      <c r="I34" s="3" t="s">
        <v>225</v>
      </c>
      <c r="J34" s="126" t="s">
        <v>99</v>
      </c>
      <c r="K34" s="127">
        <f>FV('3. Assumptions and Drivers'!$K$35/12, 36, PMT('3. Assumptions and Drivers'!$K$35/12, 84, -'3. Assumptions and Drivers'!$K$33), -'3. Assumptions and Drivers'!$K$33)
</f>
        <v>118535.9588</v>
      </c>
    </row>
    <row r="35" ht="15.75" customHeight="1">
      <c r="A35" s="72" t="s">
        <v>226</v>
      </c>
      <c r="B35" s="72" t="s">
        <v>138</v>
      </c>
      <c r="C35" s="74">
        <f>ROUNDUP(C23/G38,0)</f>
        <v>116</v>
      </c>
      <c r="D35" s="3"/>
      <c r="E35" s="72" t="s">
        <v>227</v>
      </c>
      <c r="F35" s="3"/>
      <c r="G35" s="3"/>
      <c r="H35" s="3"/>
      <c r="I35" s="3" t="s">
        <v>228</v>
      </c>
      <c r="J35" s="126" t="s">
        <v>110</v>
      </c>
      <c r="K35" s="146">
        <v>0.105</v>
      </c>
    </row>
    <row r="36" ht="15.75" customHeight="1">
      <c r="A36" s="72" t="s">
        <v>229</v>
      </c>
      <c r="B36" s="72" t="s">
        <v>99</v>
      </c>
      <c r="C36" s="135">
        <v>45000.0</v>
      </c>
      <c r="D36" s="3"/>
      <c r="E36" s="3"/>
      <c r="F36" s="3"/>
      <c r="G36" s="3"/>
      <c r="H36" s="3"/>
      <c r="I36" s="3" t="s">
        <v>230</v>
      </c>
      <c r="J36" s="126" t="s">
        <v>231</v>
      </c>
      <c r="K36" s="143">
        <v>84.0</v>
      </c>
    </row>
    <row r="37" ht="15.75" customHeight="1">
      <c r="A37" s="72" t="s">
        <v>232</v>
      </c>
      <c r="B37" s="72" t="s">
        <v>110</v>
      </c>
      <c r="C37" s="136">
        <v>0.1</v>
      </c>
      <c r="D37" s="3"/>
      <c r="E37" s="120" t="s">
        <v>233</v>
      </c>
      <c r="F37" s="69"/>
      <c r="G37" s="69"/>
      <c r="H37" s="3"/>
      <c r="I37" s="3"/>
      <c r="K37" s="3"/>
    </row>
    <row r="38" ht="15.75" customHeight="1">
      <c r="A38" s="72" t="s">
        <v>234</v>
      </c>
      <c r="B38" s="72" t="s">
        <v>110</v>
      </c>
      <c r="C38" s="136">
        <v>0.85</v>
      </c>
      <c r="D38" s="3"/>
      <c r="E38" s="72" t="s">
        <v>235</v>
      </c>
      <c r="F38" s="72" t="s">
        <v>138</v>
      </c>
      <c r="G38" s="73">
        <v>2.0</v>
      </c>
      <c r="H38" s="3"/>
      <c r="I38" s="102" t="s">
        <v>236</v>
      </c>
      <c r="J38" s="126"/>
      <c r="K38" s="131"/>
    </row>
    <row r="39" ht="15.75" customHeight="1">
      <c r="A39" s="72" t="s">
        <v>237</v>
      </c>
      <c r="B39" s="72" t="s">
        <v>99</v>
      </c>
      <c r="C39" s="135">
        <v>45000.0</v>
      </c>
      <c r="D39" s="3"/>
      <c r="E39" s="72" t="s">
        <v>238</v>
      </c>
      <c r="F39" s="72" t="s">
        <v>239</v>
      </c>
      <c r="G39" s="73">
        <v>6.0</v>
      </c>
      <c r="H39" s="3"/>
      <c r="I39" s="3" t="s">
        <v>240</v>
      </c>
      <c r="J39" s="126" t="s">
        <v>110</v>
      </c>
      <c r="K39" s="146">
        <v>0.075</v>
      </c>
    </row>
    <row r="40" ht="15.75" customHeight="1">
      <c r="A40" s="72" t="s">
        <v>241</v>
      </c>
      <c r="B40" s="72" t="s">
        <v>110</v>
      </c>
      <c r="C40" s="136">
        <v>0.1</v>
      </c>
      <c r="D40" s="3"/>
      <c r="E40" s="72" t="s">
        <v>242</v>
      </c>
      <c r="F40" s="72" t="s">
        <v>99</v>
      </c>
      <c r="G40" s="90">
        <f>'2. Financial Summary'!$H$6*G39</f>
        <v>42616.353</v>
      </c>
      <c r="H40" s="3"/>
      <c r="I40" s="3" t="s">
        <v>243</v>
      </c>
      <c r="J40" s="126" t="s">
        <v>110</v>
      </c>
      <c r="K40" s="130">
        <v>0.21</v>
      </c>
    </row>
    <row r="41" ht="15.75" customHeight="1">
      <c r="A41" s="72" t="s">
        <v>244</v>
      </c>
      <c r="B41" s="72" t="s">
        <v>110</v>
      </c>
      <c r="C41" s="136">
        <v>0.85</v>
      </c>
      <c r="D41" s="3"/>
      <c r="E41" s="72" t="s">
        <v>245</v>
      </c>
      <c r="F41" s="72" t="s">
        <v>246</v>
      </c>
      <c r="G41" s="73">
        <v>9.0</v>
      </c>
      <c r="H41" s="3"/>
      <c r="I41" s="3"/>
      <c r="J41" s="126"/>
      <c r="K41" s="131"/>
    </row>
    <row r="42" ht="15.75" customHeight="1">
      <c r="A42" s="72" t="s">
        <v>247</v>
      </c>
      <c r="B42" s="72" t="s">
        <v>248</v>
      </c>
      <c r="C42" s="135">
        <v>25.0</v>
      </c>
      <c r="D42" s="3"/>
      <c r="E42" s="72" t="s">
        <v>249</v>
      </c>
      <c r="F42" s="72" t="s">
        <v>99</v>
      </c>
      <c r="G42" s="90">
        <f>G41*'2. Financial Summary'!$H$6</f>
        <v>63924.5295</v>
      </c>
      <c r="H42" s="3"/>
      <c r="I42" s="140" t="s">
        <v>250</v>
      </c>
      <c r="J42" s="126"/>
      <c r="K42" s="131"/>
    </row>
    <row r="43" ht="15.75" customHeight="1">
      <c r="A43" s="72" t="s">
        <v>251</v>
      </c>
      <c r="B43" s="72" t="s">
        <v>252</v>
      </c>
      <c r="C43" s="135">
        <v>125.0</v>
      </c>
      <c r="D43" s="3"/>
      <c r="E43" s="72" t="s">
        <v>253</v>
      </c>
      <c r="F43" s="72" t="s">
        <v>231</v>
      </c>
      <c r="G43" s="73">
        <v>1.0</v>
      </c>
      <c r="H43" s="3"/>
      <c r="I43" s="137" t="s">
        <v>254</v>
      </c>
      <c r="J43" s="138" t="s">
        <v>99</v>
      </c>
      <c r="K43" s="134">
        <v>83279.0</v>
      </c>
    </row>
    <row r="44" ht="15.75" customHeight="1">
      <c r="A44" s="72" t="s">
        <v>255</v>
      </c>
      <c r="B44" s="72" t="s">
        <v>99</v>
      </c>
      <c r="C44" s="90">
        <f>C42*C43*12</f>
        <v>37500</v>
      </c>
      <c r="D44" s="3"/>
      <c r="E44" s="3"/>
      <c r="F44" s="3"/>
      <c r="G44" s="3"/>
      <c r="H44" s="3"/>
    </row>
    <row r="45" ht="15.75" customHeight="1">
      <c r="A45" s="72" t="s">
        <v>256</v>
      </c>
      <c r="B45" s="72" t="s">
        <v>99</v>
      </c>
      <c r="C45" s="135">
        <v>50000.0</v>
      </c>
      <c r="D45" s="3"/>
      <c r="E45" s="120" t="s">
        <v>257</v>
      </c>
      <c r="F45" s="69"/>
      <c r="G45" s="69"/>
      <c r="H45" s="3"/>
      <c r="I45" s="3"/>
      <c r="J45" s="126"/>
      <c r="K45" s="131"/>
    </row>
    <row r="46" ht="15.75" customHeight="1">
      <c r="A46" s="72" t="s">
        <v>258</v>
      </c>
      <c r="B46" s="72" t="s">
        <v>99</v>
      </c>
      <c r="C46" s="135">
        <v>50000.0</v>
      </c>
      <c r="D46" s="3"/>
      <c r="E46" s="72" t="s">
        <v>259</v>
      </c>
      <c r="F46" s="72" t="s">
        <v>110</v>
      </c>
      <c r="G46" s="128">
        <v>0.03</v>
      </c>
      <c r="H46" s="3"/>
      <c r="I46" s="3"/>
      <c r="J46" s="126"/>
      <c r="K46" s="131"/>
    </row>
    <row r="47" ht="15.75" customHeight="1">
      <c r="A47" s="72" t="s">
        <v>260</v>
      </c>
      <c r="B47" s="72" t="s">
        <v>99</v>
      </c>
      <c r="C47" s="135">
        <v>50.0</v>
      </c>
      <c r="D47" s="3"/>
      <c r="E47" s="72" t="s">
        <v>261</v>
      </c>
      <c r="F47" s="72" t="s">
        <v>99</v>
      </c>
      <c r="G47" s="147">
        <f>'4. Revenue and Volume '!P18*G46</f>
        <v>84840.3873</v>
      </c>
      <c r="H47" s="3"/>
      <c r="I47" s="3"/>
      <c r="J47" s="126"/>
      <c r="K47" s="131"/>
    </row>
    <row r="48" ht="15.75" customHeight="1">
      <c r="A48" s="72" t="s">
        <v>262</v>
      </c>
      <c r="B48" s="72" t="s">
        <v>99</v>
      </c>
      <c r="C48" s="135">
        <v>75.0</v>
      </c>
      <c r="D48" s="3"/>
      <c r="E48" s="72" t="s">
        <v>263</v>
      </c>
      <c r="F48" s="72" t="s">
        <v>144</v>
      </c>
      <c r="G48" s="73">
        <v>11.0</v>
      </c>
      <c r="H48" s="3"/>
      <c r="I48" s="3"/>
      <c r="J48" s="126"/>
      <c r="K48" s="131"/>
    </row>
    <row r="49" ht="15.75" customHeight="1">
      <c r="A49" s="3"/>
      <c r="B49" s="3"/>
      <c r="C49" s="3"/>
      <c r="D49" s="3"/>
      <c r="E49" s="72" t="s">
        <v>264</v>
      </c>
      <c r="F49" s="72" t="s">
        <v>231</v>
      </c>
      <c r="G49" s="73">
        <v>3.0</v>
      </c>
      <c r="H49" s="3"/>
      <c r="I49" s="3"/>
      <c r="J49" s="126"/>
      <c r="K49" s="131"/>
    </row>
    <row r="50" ht="15.75" customHeight="1">
      <c r="A50" s="3"/>
      <c r="B50" s="3"/>
      <c r="C50" s="3"/>
      <c r="D50" s="3"/>
      <c r="E50" s="72" t="s">
        <v>265</v>
      </c>
      <c r="F50" s="72" t="s">
        <v>110</v>
      </c>
      <c r="G50" s="128">
        <v>0.125</v>
      </c>
      <c r="H50" s="3"/>
      <c r="I50" s="3"/>
      <c r="J50" s="126"/>
      <c r="K50" s="131"/>
    </row>
    <row r="51" ht="15.75" customHeight="1">
      <c r="A51" s="3"/>
      <c r="B51" s="3"/>
      <c r="C51" s="3"/>
      <c r="D51" s="3"/>
      <c r="E51" s="72" t="s">
        <v>266</v>
      </c>
      <c r="F51" s="72" t="s">
        <v>110</v>
      </c>
      <c r="G51" s="128">
        <v>0.35</v>
      </c>
      <c r="H51" s="3"/>
      <c r="I51" s="3"/>
      <c r="J51" s="126"/>
      <c r="K51" s="131"/>
    </row>
    <row r="52" ht="15.75" customHeight="1">
      <c r="A52" s="3"/>
      <c r="B52" s="3"/>
      <c r="C52" s="3"/>
      <c r="D52" s="3"/>
      <c r="E52" s="72" t="s">
        <v>267</v>
      </c>
      <c r="F52" s="72" t="s">
        <v>110</v>
      </c>
      <c r="G52" s="128">
        <v>0.15</v>
      </c>
      <c r="H52" s="3"/>
      <c r="I52" s="3"/>
      <c r="J52" s="126"/>
      <c r="K52" s="131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126"/>
      <c r="K53" s="131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126"/>
      <c r="K54" s="131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126"/>
      <c r="K55" s="131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126"/>
      <c r="K56" s="131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126"/>
      <c r="K57" s="131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126"/>
      <c r="K58" s="131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126"/>
      <c r="K59" s="131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126"/>
      <c r="K60" s="131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126"/>
      <c r="K61" s="131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126"/>
      <c r="K62" s="131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126"/>
      <c r="K63" s="131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126"/>
      <c r="K64" s="131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126"/>
      <c r="K65" s="131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126"/>
      <c r="K66" s="131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126"/>
      <c r="K67" s="131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126"/>
      <c r="K68" s="131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126"/>
      <c r="K69" s="131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126"/>
      <c r="K70" s="131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126"/>
      <c r="K71" s="131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126"/>
      <c r="K72" s="131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126"/>
      <c r="K73" s="131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126"/>
      <c r="K74" s="131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126"/>
      <c r="K75" s="131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126"/>
      <c r="K76" s="131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126"/>
      <c r="K77" s="131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126"/>
      <c r="K78" s="131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126"/>
      <c r="K79" s="131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126"/>
      <c r="K80" s="131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126"/>
      <c r="K81" s="131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126"/>
      <c r="K82" s="131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126"/>
      <c r="K83" s="131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126"/>
      <c r="K84" s="131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126"/>
      <c r="K85" s="131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126"/>
      <c r="K86" s="131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126"/>
      <c r="K87" s="131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126"/>
      <c r="K88" s="131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126"/>
      <c r="K89" s="131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126"/>
      <c r="K90" s="131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126"/>
      <c r="K91" s="131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126"/>
      <c r="K92" s="131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126"/>
      <c r="K93" s="131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126"/>
      <c r="K94" s="131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126"/>
      <c r="K95" s="131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126"/>
      <c r="K96" s="131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126"/>
      <c r="K97" s="131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126"/>
      <c r="K98" s="131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126"/>
      <c r="K99" s="131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126"/>
      <c r="K100" s="131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126"/>
      <c r="K101" s="131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126"/>
      <c r="K102" s="131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126"/>
      <c r="K103" s="131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126"/>
      <c r="K104" s="131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126"/>
      <c r="K105" s="131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126"/>
      <c r="K106" s="131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126"/>
      <c r="K107" s="131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126"/>
      <c r="K108" s="131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126"/>
      <c r="K109" s="131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126"/>
      <c r="K110" s="131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126"/>
      <c r="K111" s="131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126"/>
      <c r="K112" s="131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126"/>
      <c r="K113" s="131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126"/>
      <c r="K114" s="131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126"/>
      <c r="K115" s="131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126"/>
      <c r="K116" s="131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126"/>
      <c r="K117" s="131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126"/>
      <c r="K118" s="131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126"/>
      <c r="K119" s="131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126"/>
      <c r="K120" s="131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126"/>
      <c r="K121" s="131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126"/>
      <c r="K122" s="131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126"/>
      <c r="K123" s="131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126"/>
      <c r="K124" s="131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126"/>
      <c r="K125" s="131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126"/>
      <c r="K126" s="131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126"/>
      <c r="K127" s="131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126"/>
      <c r="K128" s="131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126"/>
      <c r="K129" s="131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126"/>
      <c r="K130" s="131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126"/>
      <c r="K131" s="131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126"/>
      <c r="K132" s="131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126"/>
      <c r="K133" s="131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126"/>
      <c r="K134" s="131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126"/>
      <c r="K135" s="131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126"/>
      <c r="K136" s="131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126"/>
      <c r="K137" s="131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126"/>
      <c r="K138" s="131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126"/>
      <c r="K139" s="131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126"/>
      <c r="K140" s="131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126"/>
      <c r="K141" s="131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126"/>
      <c r="K142" s="131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126"/>
      <c r="K143" s="131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126"/>
      <c r="K144" s="131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126"/>
      <c r="K145" s="131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126"/>
      <c r="K146" s="131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126"/>
      <c r="K147" s="131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126"/>
      <c r="K148" s="131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126"/>
      <c r="K149" s="131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126"/>
      <c r="K150" s="131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126"/>
      <c r="K151" s="131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126"/>
      <c r="K152" s="131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126"/>
      <c r="K153" s="131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126"/>
      <c r="K154" s="131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126"/>
      <c r="K155" s="131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126"/>
      <c r="K156" s="131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126"/>
      <c r="K157" s="131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126"/>
      <c r="K158" s="131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126"/>
      <c r="K159" s="131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126"/>
      <c r="K160" s="131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126"/>
      <c r="K161" s="131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126"/>
      <c r="K162" s="131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126"/>
      <c r="K163" s="131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126"/>
      <c r="K164" s="131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126"/>
      <c r="K165" s="131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126"/>
      <c r="K166" s="131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126"/>
      <c r="K167" s="131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126"/>
      <c r="K168" s="131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126"/>
      <c r="K169" s="131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126"/>
      <c r="K170" s="131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126"/>
      <c r="K171" s="131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126"/>
      <c r="K172" s="131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126"/>
      <c r="K173" s="131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126"/>
      <c r="K174" s="131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126"/>
      <c r="K175" s="131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126"/>
      <c r="K176" s="131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126"/>
      <c r="K177" s="131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126"/>
      <c r="K178" s="131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126"/>
      <c r="K179" s="131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126"/>
      <c r="K180" s="131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126"/>
      <c r="K181" s="131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126"/>
      <c r="K182" s="131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126"/>
      <c r="K183" s="131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126"/>
      <c r="K184" s="131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126"/>
      <c r="K185" s="131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126"/>
      <c r="K186" s="131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126"/>
      <c r="K187" s="131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126"/>
      <c r="K188" s="131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126"/>
      <c r="K189" s="131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126"/>
      <c r="K190" s="131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126"/>
      <c r="K191" s="131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126"/>
      <c r="K192" s="131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126"/>
      <c r="K193" s="131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126"/>
      <c r="K194" s="131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126"/>
      <c r="K195" s="131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126"/>
      <c r="K196" s="131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126"/>
      <c r="K197" s="131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126"/>
      <c r="K198" s="131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126"/>
      <c r="K199" s="131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126"/>
      <c r="K200" s="131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126"/>
      <c r="K201" s="131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126"/>
      <c r="K202" s="131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126"/>
      <c r="K203" s="131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126"/>
      <c r="K204" s="131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126"/>
      <c r="K205" s="131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126"/>
      <c r="K206" s="131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126"/>
      <c r="K207" s="131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126"/>
      <c r="K208" s="131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126"/>
      <c r="K209" s="131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126"/>
      <c r="K210" s="131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126"/>
      <c r="K211" s="131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126"/>
      <c r="K212" s="131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126"/>
      <c r="K213" s="131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126"/>
      <c r="K214" s="131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126"/>
      <c r="K215" s="131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126"/>
      <c r="K216" s="131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126"/>
      <c r="K217" s="131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126"/>
      <c r="K218" s="131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126"/>
      <c r="K219" s="131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126"/>
      <c r="K220" s="131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126"/>
      <c r="K221" s="131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126"/>
      <c r="K222" s="131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126"/>
      <c r="K223" s="131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126"/>
      <c r="K224" s="131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126"/>
      <c r="K225" s="131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126"/>
      <c r="K226" s="131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126"/>
      <c r="K227" s="131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126"/>
      <c r="K228" s="131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126"/>
      <c r="K229" s="131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126"/>
      <c r="K230" s="131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126"/>
      <c r="K231" s="131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126"/>
      <c r="K232" s="131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126"/>
      <c r="K233" s="131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126"/>
      <c r="K234" s="131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126"/>
      <c r="K235" s="131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126"/>
      <c r="K236" s="131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126"/>
      <c r="K237" s="131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126"/>
      <c r="K238" s="131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126"/>
      <c r="K239" s="131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126"/>
      <c r="K240" s="131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126"/>
      <c r="K241" s="131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126"/>
      <c r="K242" s="131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126"/>
      <c r="K243" s="131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126"/>
      <c r="K244" s="131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126"/>
      <c r="K245" s="131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126"/>
      <c r="K246" s="131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126"/>
      <c r="K247" s="131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126"/>
      <c r="K248" s="131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126"/>
      <c r="K249" s="131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126"/>
      <c r="K250" s="131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K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K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K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K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K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K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K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K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K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K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K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K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K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K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K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K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K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K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K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K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K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K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K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K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K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K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K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K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K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K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K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K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K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K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K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K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K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K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K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K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K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K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K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K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K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K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K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K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K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K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K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K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K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K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K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K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K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K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K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K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K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K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K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K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K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K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K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K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K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K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K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K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K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K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K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K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K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K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K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K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K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K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K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K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K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K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K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K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K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K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K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K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K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K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K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K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K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K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K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K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K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K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K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K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K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K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K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K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K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K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K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K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K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K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K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K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K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K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K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K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K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K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K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K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K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K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K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K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K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K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K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K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K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K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K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K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K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K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K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K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K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K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K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K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K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K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K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K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K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K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K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K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K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K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K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K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K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K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K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K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K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K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K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K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K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K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K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K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K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K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K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K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K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K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K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K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K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K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K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K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K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K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K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K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K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K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K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K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K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K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K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K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K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K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K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K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K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K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K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K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K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K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K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K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K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K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K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K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K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K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K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K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K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K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K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K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K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K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K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K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K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K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K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K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K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K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K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K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K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K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K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K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K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K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K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K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K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K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K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K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K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K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K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K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K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K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K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K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K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K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K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K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K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K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K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K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K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K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K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K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K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K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K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K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K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K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K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K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K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K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K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K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K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K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K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K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K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K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K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K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K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K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K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K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K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K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K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K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K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K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K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K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K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K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K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K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K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K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K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K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K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K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K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K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K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K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K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K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K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K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K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K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K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K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K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K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K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K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K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K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K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K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K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K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K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K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K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K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K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K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K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K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K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K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K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K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K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K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K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K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K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K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K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K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K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K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K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K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K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K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K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K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K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K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K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K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K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K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K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K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K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K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K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K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K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K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K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K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K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K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K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K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K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K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K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K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K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K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K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K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K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K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K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K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K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K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K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K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K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K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K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K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K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K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K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K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K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K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K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K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K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K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K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K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K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K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K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K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K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K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K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K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K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K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K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K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K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K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K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K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K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K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K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K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K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K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K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K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K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K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K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K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K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K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K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K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K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K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K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K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K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K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K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K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K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K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K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K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K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K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K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K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K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K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K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K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K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K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K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K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K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K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K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K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K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K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K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K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K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K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K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K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K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K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K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K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K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K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K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K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K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K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K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K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K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K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K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K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K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K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K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K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K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K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K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K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K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K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K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K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K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K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K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K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K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K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K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K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K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K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K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K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K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K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K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K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K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K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K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K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K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K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K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K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K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K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K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K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K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K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K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K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K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K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K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K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K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K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K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K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K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K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K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K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K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K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K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K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K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K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K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K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K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K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K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K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K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K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K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K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K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K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K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K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K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K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K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K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K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K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K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K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K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K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K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K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K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K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K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K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K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K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K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K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K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K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K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K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K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K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K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K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K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K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K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K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K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K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K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K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K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K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K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K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K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K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K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K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K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K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K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K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K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K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K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K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K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K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K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K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K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K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K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K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K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K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K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K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K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K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K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K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K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K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K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K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K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K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K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K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K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K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K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K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K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K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K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K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K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K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K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K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K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K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K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K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K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K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K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K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K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K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K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K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K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K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K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K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K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K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K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K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K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K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K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K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K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K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K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K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K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K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K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K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K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K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K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K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K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K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K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K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K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K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K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K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K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K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K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K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K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K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K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K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K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K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K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K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K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K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K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K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K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K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K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K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K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K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K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K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K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K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K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K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K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K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K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K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K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K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K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K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K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K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K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K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K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K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K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K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K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K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K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K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K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K1000" s="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6B53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75"/>
    <col customWidth="1" min="2" max="2" width="12.63"/>
    <col customWidth="1" min="3" max="3" width="8.38"/>
    <col customWidth="1" min="4" max="15" width="11.38"/>
    <col customWidth="1" min="16" max="16" width="12.75"/>
  </cols>
  <sheetData>
    <row r="1" ht="15.75" customHeight="1">
      <c r="A1" s="69" t="s">
        <v>127</v>
      </c>
      <c r="B1" s="69" t="s">
        <v>81</v>
      </c>
      <c r="C1" s="69" t="s">
        <v>268</v>
      </c>
      <c r="D1" s="69" t="s">
        <v>57</v>
      </c>
      <c r="E1" s="69" t="s">
        <v>59</v>
      </c>
      <c r="F1" s="69" t="s">
        <v>61</v>
      </c>
      <c r="G1" s="69" t="s">
        <v>63</v>
      </c>
      <c r="H1" s="69" t="s">
        <v>65</v>
      </c>
      <c r="I1" s="69" t="s">
        <v>67</v>
      </c>
      <c r="J1" s="69" t="s">
        <v>69</v>
      </c>
      <c r="K1" s="69" t="s">
        <v>71</v>
      </c>
      <c r="L1" s="69" t="s">
        <v>73</v>
      </c>
      <c r="M1" s="69" t="s">
        <v>75</v>
      </c>
      <c r="N1" s="69" t="s">
        <v>77</v>
      </c>
      <c r="O1" s="69" t="s">
        <v>79</v>
      </c>
      <c r="P1" s="69" t="s">
        <v>269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5.75" customHeight="1">
      <c r="A2" s="120" t="s">
        <v>270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75" customHeight="1">
      <c r="A3" s="126" t="s">
        <v>94</v>
      </c>
      <c r="B3" s="72" t="s">
        <v>55</v>
      </c>
      <c r="C3" s="75">
        <f>'2. Financial Summary'!$G$4</f>
        <v>283</v>
      </c>
      <c r="D3" s="75">
        <f t="shared" ref="D3:P3" si="1">C6</f>
        <v>283</v>
      </c>
      <c r="E3" s="75">
        <f t="shared" si="1"/>
        <v>294.98</v>
      </c>
      <c r="F3" s="75">
        <f t="shared" si="1"/>
        <v>306.96</v>
      </c>
      <c r="G3" s="75">
        <f t="shared" si="1"/>
        <v>324.94</v>
      </c>
      <c r="H3" s="75">
        <f t="shared" si="1"/>
        <v>342.92</v>
      </c>
      <c r="I3" s="75">
        <f t="shared" si="1"/>
        <v>360.9</v>
      </c>
      <c r="J3" s="75">
        <f t="shared" si="1"/>
        <v>387.88</v>
      </c>
      <c r="K3" s="75">
        <f t="shared" si="1"/>
        <v>414.86</v>
      </c>
      <c r="L3" s="75">
        <f t="shared" si="1"/>
        <v>441.84</v>
      </c>
      <c r="M3" s="75">
        <f t="shared" si="1"/>
        <v>459.82</v>
      </c>
      <c r="N3" s="75">
        <f t="shared" si="1"/>
        <v>477.8</v>
      </c>
      <c r="O3" s="75">
        <f t="shared" si="1"/>
        <v>495.78</v>
      </c>
      <c r="P3" s="75">
        <f t="shared" si="1"/>
        <v>513.76</v>
      </c>
    </row>
    <row r="4" ht="15.75" customHeight="1">
      <c r="A4" s="126" t="s">
        <v>271</v>
      </c>
      <c r="B4" s="72" t="s">
        <v>55</v>
      </c>
      <c r="C4" s="70" t="s">
        <v>102</v>
      </c>
      <c r="D4" s="75">
        <f>'5. Payroll and Headcount'!C10* IF(OR(D$1="JUN", D$1="JUL", D$1="AUG"), '3. Assumptions and Drivers'!$G$41, '3. Assumptions and Drivers'!$G$39)
</f>
        <v>12</v>
      </c>
      <c r="E4" s="75">
        <f>'5. Payroll and Headcount'!D10* IF(OR(E$1="JUN", E$1="JUL", E$1="AUG"), '3. Assumptions and Drivers'!$G$41, '3. Assumptions and Drivers'!$G$39)
</f>
        <v>12</v>
      </c>
      <c r="F4" s="75">
        <f>'5. Payroll and Headcount'!E10* IF(OR(F$1="JUN", F$1="JUL", F$1="AUG"), '3. Assumptions and Drivers'!$G$41, '3. Assumptions and Drivers'!$G$39)
</f>
        <v>18</v>
      </c>
      <c r="G4" s="75">
        <f>'5. Payroll and Headcount'!F10* IF(OR(G$1="JUN", G$1="JUL", G$1="AUG"), '3. Assumptions and Drivers'!$G$41, '3. Assumptions and Drivers'!$G$39)
</f>
        <v>18</v>
      </c>
      <c r="H4" s="75">
        <f>'5. Payroll and Headcount'!G10* IF(OR(H$1="JUN", H$1="JUL", H$1="AUG"), '3. Assumptions and Drivers'!$G$41, '3. Assumptions and Drivers'!$G$39)
</f>
        <v>18</v>
      </c>
      <c r="I4" s="75">
        <f>'5. Payroll and Headcount'!H10* IF(OR(I$1="JUN", I$1="JUL", I$1="AUG"), '3. Assumptions and Drivers'!$G$41, '3. Assumptions and Drivers'!$G$39)
</f>
        <v>27</v>
      </c>
      <c r="J4" s="75">
        <f>'5. Payroll and Headcount'!I10* IF(OR(J$1="JUN", J$1="JUL", J$1="AUG"), '3. Assumptions and Drivers'!$G$41, '3. Assumptions and Drivers'!$G$39)
</f>
        <v>27</v>
      </c>
      <c r="K4" s="75">
        <f>'5. Payroll and Headcount'!J10* IF(OR(K$1="JUN", K$1="JUL", K$1="AUG"), '3. Assumptions and Drivers'!$G$41, '3. Assumptions and Drivers'!$G$39)
</f>
        <v>27</v>
      </c>
      <c r="L4" s="75">
        <f>'5. Payroll and Headcount'!K10* IF(OR(L$1="JUN", L$1="JUL", L$1="AUG"), '3. Assumptions and Drivers'!$G$41, '3. Assumptions and Drivers'!$G$39)
</f>
        <v>18</v>
      </c>
      <c r="M4" s="75">
        <f>'5. Payroll and Headcount'!L10* IF(OR(M$1="JUN", M$1="JUL", M$1="AUG"), '3. Assumptions and Drivers'!$G$41, '3. Assumptions and Drivers'!$G$39)
</f>
        <v>18</v>
      </c>
      <c r="N4" s="75">
        <f>'5. Payroll and Headcount'!M10* IF(OR(N$1="JUN", N$1="JUL", N$1="AUG"), '3. Assumptions and Drivers'!$G$41, '3. Assumptions and Drivers'!$G$39)
</f>
        <v>18</v>
      </c>
      <c r="O4" s="75">
        <f>'5. Payroll and Headcount'!N10* IF(OR(O$1="JUN", O$1="JUL", O$1="AUG"), '3. Assumptions and Drivers'!$G$41, '3. Assumptions and Drivers'!$G$39)
</f>
        <v>18</v>
      </c>
      <c r="P4" s="75">
        <f t="shared" ref="P4:P5" si="2">SUM(D4:O4)</f>
        <v>231</v>
      </c>
    </row>
    <row r="5" ht="15.75" customHeight="1">
      <c r="A5" s="126" t="s">
        <v>272</v>
      </c>
      <c r="B5" s="72" t="s">
        <v>55</v>
      </c>
      <c r="C5" s="70" t="s">
        <v>102</v>
      </c>
      <c r="D5" s="139">
        <f>'3. Assumptions and Drivers'!$C$11</f>
        <v>0.02</v>
      </c>
      <c r="E5" s="139">
        <f>'3. Assumptions and Drivers'!$C$11</f>
        <v>0.02</v>
      </c>
      <c r="F5" s="139">
        <f>'3. Assumptions and Drivers'!$C$11</f>
        <v>0.02</v>
      </c>
      <c r="G5" s="139">
        <f>'3. Assumptions and Drivers'!$C$11</f>
        <v>0.02</v>
      </c>
      <c r="H5" s="139">
        <f>'3. Assumptions and Drivers'!$C$11</f>
        <v>0.02</v>
      </c>
      <c r="I5" s="139">
        <f>'3. Assumptions and Drivers'!$C$11</f>
        <v>0.02</v>
      </c>
      <c r="J5" s="139">
        <f>'3. Assumptions and Drivers'!$C$11</f>
        <v>0.02</v>
      </c>
      <c r="K5" s="139">
        <f>'3. Assumptions and Drivers'!$C$11</f>
        <v>0.02</v>
      </c>
      <c r="L5" s="139">
        <f>'3. Assumptions and Drivers'!$C$11</f>
        <v>0.02</v>
      </c>
      <c r="M5" s="139">
        <f>'3. Assumptions and Drivers'!$C$11</f>
        <v>0.02</v>
      </c>
      <c r="N5" s="139">
        <f>'3. Assumptions and Drivers'!$C$11</f>
        <v>0.02</v>
      </c>
      <c r="O5" s="139">
        <f>'3. Assumptions and Drivers'!$C$11</f>
        <v>0.02</v>
      </c>
      <c r="P5" s="139">
        <f t="shared" si="2"/>
        <v>0.24</v>
      </c>
    </row>
    <row r="6" ht="15.75" customHeight="1">
      <c r="A6" s="126" t="s">
        <v>95</v>
      </c>
      <c r="B6" s="72" t="s">
        <v>55</v>
      </c>
      <c r="C6" s="75">
        <f>'2. Financial Summary'!G4</f>
        <v>283</v>
      </c>
      <c r="D6" s="75">
        <f t="shared" ref="D6:O6" si="3">(D3+D4)-D5</f>
        <v>294.98</v>
      </c>
      <c r="E6" s="75">
        <f t="shared" si="3"/>
        <v>306.96</v>
      </c>
      <c r="F6" s="75">
        <f t="shared" si="3"/>
        <v>324.94</v>
      </c>
      <c r="G6" s="75">
        <f t="shared" si="3"/>
        <v>342.92</v>
      </c>
      <c r="H6" s="75">
        <f t="shared" si="3"/>
        <v>360.9</v>
      </c>
      <c r="I6" s="75">
        <f t="shared" si="3"/>
        <v>387.88</v>
      </c>
      <c r="J6" s="75">
        <f t="shared" si="3"/>
        <v>414.86</v>
      </c>
      <c r="K6" s="75">
        <f t="shared" si="3"/>
        <v>441.84</v>
      </c>
      <c r="L6" s="75">
        <f t="shared" si="3"/>
        <v>459.82</v>
      </c>
      <c r="M6" s="75">
        <f t="shared" si="3"/>
        <v>477.8</v>
      </c>
      <c r="N6" s="75">
        <f t="shared" si="3"/>
        <v>495.78</v>
      </c>
      <c r="O6" s="75">
        <f t="shared" si="3"/>
        <v>513.76</v>
      </c>
      <c r="P6" s="75">
        <f>O6</f>
        <v>513.76</v>
      </c>
      <c r="Q6" s="148"/>
    </row>
    <row r="7" ht="15.75" customHeight="1">
      <c r="A7" s="126" t="s">
        <v>273</v>
      </c>
      <c r="B7" s="72" t="s">
        <v>55</v>
      </c>
      <c r="C7" s="75">
        <f t="shared" ref="C7:O7" si="4">C6-C3</f>
        <v>0</v>
      </c>
      <c r="D7" s="75">
        <f t="shared" si="4"/>
        <v>11.98</v>
      </c>
      <c r="E7" s="75">
        <f t="shared" si="4"/>
        <v>11.98</v>
      </c>
      <c r="F7" s="75">
        <f t="shared" si="4"/>
        <v>17.98</v>
      </c>
      <c r="G7" s="75">
        <f t="shared" si="4"/>
        <v>17.98</v>
      </c>
      <c r="H7" s="75">
        <f t="shared" si="4"/>
        <v>17.98</v>
      </c>
      <c r="I7" s="75">
        <f t="shared" si="4"/>
        <v>26.98</v>
      </c>
      <c r="J7" s="75">
        <f t="shared" si="4"/>
        <v>26.98</v>
      </c>
      <c r="K7" s="75">
        <f t="shared" si="4"/>
        <v>26.98</v>
      </c>
      <c r="L7" s="75">
        <f t="shared" si="4"/>
        <v>17.98</v>
      </c>
      <c r="M7" s="75">
        <f t="shared" si="4"/>
        <v>17.98</v>
      </c>
      <c r="N7" s="75">
        <f t="shared" si="4"/>
        <v>17.98</v>
      </c>
      <c r="O7" s="75">
        <f t="shared" si="4"/>
        <v>17.98</v>
      </c>
      <c r="P7" s="75">
        <f>SUM(D7:O7)</f>
        <v>230.76</v>
      </c>
    </row>
    <row r="8" ht="15.75" customHeight="1">
      <c r="A8" s="126" t="s">
        <v>274</v>
      </c>
      <c r="B8" s="72" t="s">
        <v>110</v>
      </c>
      <c r="C8" s="93">
        <f>C6/(('5. Payroll and Headcount'!C7*'3. Assumptions and Drivers'!$C$3*'3. Assumptions and Drivers'!$G$9)+('3. Assumptions and Drivers'!$C$3*'3. Assumptions and Drivers'!$G$6*'5. Payroll and Headcount'!C6))</f>
        <v>0.6987654321</v>
      </c>
      <c r="D8" s="93">
        <f>D6/(('5. Payroll and Headcount'!D7*'3. Assumptions and Drivers'!$C$3*'3. Assumptions and Drivers'!$G$9)+('3. Assumptions and Drivers'!$C$3*'3. Assumptions and Drivers'!$G$6*'5. Payroll and Headcount'!D6))</f>
        <v>0.728345679</v>
      </c>
      <c r="E8" s="93">
        <f>E6/(('5. Payroll and Headcount'!E7*'3. Assumptions and Drivers'!$C$3*'3. Assumptions and Drivers'!$G$9)+('3. Assumptions and Drivers'!$C$3*'3. Assumptions and Drivers'!$G$6*'5. Payroll and Headcount'!E6))</f>
        <v>0.5530810811</v>
      </c>
      <c r="F8" s="93">
        <f>F6/(('5. Payroll and Headcount'!F7*'3. Assumptions and Drivers'!$C$3*'3. Assumptions and Drivers'!$G$9)+('3. Assumptions and Drivers'!$C$3*'3. Assumptions and Drivers'!$G$6*'5. Payroll and Headcount'!F6))</f>
        <v>0.5854774775</v>
      </c>
      <c r="G8" s="93">
        <f>G6/(('5. Payroll and Headcount'!G7*'3. Assumptions and Drivers'!$C$3*'3. Assumptions and Drivers'!$G$9)+('3. Assumptions and Drivers'!$C$3*'3. Assumptions and Drivers'!$G$6*'5. Payroll and Headcount'!G6))</f>
        <v>0.6178738739</v>
      </c>
      <c r="H8" s="93">
        <f>H6/(('5. Payroll and Headcount'!H7*'3. Assumptions and Drivers'!$C$3*'3. Assumptions and Drivers'!$G$9)+('3. Assumptions and Drivers'!$C$3*'3. Assumptions and Drivers'!$G$6*'5. Payroll and Headcount'!H6))</f>
        <v>0.6502702703</v>
      </c>
      <c r="I8" s="93">
        <f>I6/(('5. Payroll and Headcount'!I7*'3. Assumptions and Drivers'!$C$3*'3. Assumptions and Drivers'!$G$9)+('3. Assumptions and Drivers'!$C$3*'3. Assumptions and Drivers'!$G$6*'5. Payroll and Headcount'!I6))</f>
        <v>0.6988828829</v>
      </c>
      <c r="J8" s="93">
        <f>J6/(('5. Payroll and Headcount'!J7*'3. Assumptions and Drivers'!$C$3*'3. Assumptions and Drivers'!$G$9)+('3. Assumptions and Drivers'!$C$3*'3. Assumptions and Drivers'!$G$6*'5. Payroll and Headcount'!J6))</f>
        <v>0.5884539007</v>
      </c>
      <c r="K8" s="93">
        <f>K6/(('5. Payroll and Headcount'!K7*'3. Assumptions and Drivers'!$C$3*'3. Assumptions and Drivers'!$G$9)+('3. Assumptions and Drivers'!$C$3*'3. Assumptions and Drivers'!$G$6*'5. Payroll and Headcount'!K6))</f>
        <v>0.6267234043</v>
      </c>
      <c r="L8" s="93">
        <f>L6/(('5. Payroll and Headcount'!L7*'3. Assumptions and Drivers'!$C$3*'3. Assumptions and Drivers'!$G$9)+('3. Assumptions and Drivers'!$C$3*'3. Assumptions and Drivers'!$G$6*'5. Payroll and Headcount'!L6))</f>
        <v>0.6522269504</v>
      </c>
      <c r="M8" s="93">
        <f>M6/(('5. Payroll and Headcount'!M7*'3. Assumptions and Drivers'!$C$3*'3. Assumptions and Drivers'!$G$9)+('3. Assumptions and Drivers'!$C$3*'3. Assumptions and Drivers'!$G$6*'5. Payroll and Headcount'!M6))</f>
        <v>0.6777304965</v>
      </c>
      <c r="N8" s="93">
        <f>N6/(('5. Payroll and Headcount'!N7*'3. Assumptions and Drivers'!$C$3*'3. Assumptions and Drivers'!$G$9)+('3. Assumptions and Drivers'!$C$3*'3. Assumptions and Drivers'!$G$6*'5. Payroll and Headcount'!N6))</f>
        <v>0.7032340426</v>
      </c>
      <c r="O8" s="93">
        <f>O6/(('5. Payroll and Headcount'!O7*'3. Assumptions and Drivers'!$C$3*'3. Assumptions and Drivers'!$G$9)+('3. Assumptions and Drivers'!$C$3*'3. Assumptions and Drivers'!$G$6*'5. Payroll and Headcount'!O6))</f>
        <v>0.7287375887</v>
      </c>
      <c r="P8" s="93">
        <f>P6/(('5. Payroll and Headcount'!P7*'3. Assumptions and Drivers'!$C$3*'3. Assumptions and Drivers'!$G$9)+('3. Assumptions and Drivers'!$C$3*'3. Assumptions and Drivers'!$G$6*'5. Payroll and Headcount'!P6))</f>
        <v>0.7287375887</v>
      </c>
    </row>
    <row r="9" ht="15.75" customHeight="1">
      <c r="A9" s="14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ht="15.75" customHeight="1">
      <c r="A10" s="120" t="s">
        <v>275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</row>
    <row r="11" ht="15.75" customHeight="1">
      <c r="A11" s="126" t="s">
        <v>96</v>
      </c>
      <c r="B11" s="72" t="s">
        <v>97</v>
      </c>
      <c r="C11" s="75">
        <f>'2. Financial Summary'!$G$5</f>
        <v>26</v>
      </c>
      <c r="D11" s="75">
        <f>C11</f>
        <v>26</v>
      </c>
      <c r="E11" s="75">
        <f t="shared" ref="E11:O11" si="5">MAX(D11, ROUNDUP(D6/11,0))</f>
        <v>27</v>
      </c>
      <c r="F11" s="75">
        <f t="shared" si="5"/>
        <v>28</v>
      </c>
      <c r="G11" s="75">
        <f t="shared" si="5"/>
        <v>30</v>
      </c>
      <c r="H11" s="75">
        <f t="shared" si="5"/>
        <v>32</v>
      </c>
      <c r="I11" s="75">
        <f t="shared" si="5"/>
        <v>33</v>
      </c>
      <c r="J11" s="75">
        <f t="shared" si="5"/>
        <v>36</v>
      </c>
      <c r="K11" s="75">
        <f t="shared" si="5"/>
        <v>38</v>
      </c>
      <c r="L11" s="75">
        <f t="shared" si="5"/>
        <v>41</v>
      </c>
      <c r="M11" s="75">
        <f t="shared" si="5"/>
        <v>42</v>
      </c>
      <c r="N11" s="75">
        <f t="shared" si="5"/>
        <v>44</v>
      </c>
      <c r="O11" s="75">
        <f t="shared" si="5"/>
        <v>46</v>
      </c>
      <c r="P11" s="75">
        <f>O11</f>
        <v>46</v>
      </c>
    </row>
    <row r="12" ht="15.75" customHeight="1">
      <c r="A12" s="126" t="s">
        <v>276</v>
      </c>
      <c r="B12" s="72" t="s">
        <v>277</v>
      </c>
      <c r="C12" s="150">
        <f t="shared" ref="C12:P12" si="6">C6/C11</f>
        <v>10.88461538</v>
      </c>
      <c r="D12" s="150">
        <f t="shared" si="6"/>
        <v>11.34538462</v>
      </c>
      <c r="E12" s="150">
        <f t="shared" si="6"/>
        <v>11.36888889</v>
      </c>
      <c r="F12" s="150">
        <f t="shared" si="6"/>
        <v>11.605</v>
      </c>
      <c r="G12" s="150">
        <f t="shared" si="6"/>
        <v>11.43066667</v>
      </c>
      <c r="H12" s="150">
        <f t="shared" si="6"/>
        <v>11.278125</v>
      </c>
      <c r="I12" s="150">
        <f t="shared" si="6"/>
        <v>11.75393939</v>
      </c>
      <c r="J12" s="150">
        <f t="shared" si="6"/>
        <v>11.52388889</v>
      </c>
      <c r="K12" s="150">
        <f t="shared" si="6"/>
        <v>11.62736842</v>
      </c>
      <c r="L12" s="150">
        <f t="shared" si="6"/>
        <v>11.21512195</v>
      </c>
      <c r="M12" s="150">
        <f t="shared" si="6"/>
        <v>11.37619048</v>
      </c>
      <c r="N12" s="150">
        <f t="shared" si="6"/>
        <v>11.26772727</v>
      </c>
      <c r="O12" s="150">
        <f t="shared" si="6"/>
        <v>11.16869565</v>
      </c>
      <c r="P12" s="150">
        <f t="shared" si="6"/>
        <v>11.16869565</v>
      </c>
    </row>
    <row r="13" ht="15.75" customHeight="1">
      <c r="A13" s="151" t="s">
        <v>278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ht="15.75" customHeight="1">
      <c r="A14" s="3"/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</row>
    <row r="15" ht="15.75" customHeight="1">
      <c r="A15" s="152" t="s">
        <v>279</v>
      </c>
      <c r="B15" s="153" t="s">
        <v>81</v>
      </c>
      <c r="C15" s="153" t="s">
        <v>268</v>
      </c>
      <c r="D15" s="153" t="s">
        <v>57</v>
      </c>
      <c r="E15" s="153" t="s">
        <v>59</v>
      </c>
      <c r="F15" s="153" t="s">
        <v>61</v>
      </c>
      <c r="G15" s="153" t="s">
        <v>63</v>
      </c>
      <c r="H15" s="153" t="s">
        <v>65</v>
      </c>
      <c r="I15" s="153" t="s">
        <v>67</v>
      </c>
      <c r="J15" s="153" t="s">
        <v>69</v>
      </c>
      <c r="K15" s="153" t="s">
        <v>71</v>
      </c>
      <c r="L15" s="153" t="s">
        <v>73</v>
      </c>
      <c r="M15" s="153" t="s">
        <v>75</v>
      </c>
      <c r="N15" s="153" t="s">
        <v>77</v>
      </c>
      <c r="O15" s="153" t="s">
        <v>79</v>
      </c>
      <c r="P15" s="153" t="s">
        <v>269</v>
      </c>
    </row>
    <row r="16" ht="15.75" customHeight="1">
      <c r="A16" s="126" t="s">
        <v>280</v>
      </c>
      <c r="B16" s="72" t="s">
        <v>281</v>
      </c>
      <c r="C16" s="154">
        <f>'2. Financial Summary'!$G$6</f>
        <v>0</v>
      </c>
      <c r="D16" s="154">
        <f>'2. Financial Summary'!$H$6</f>
        <v>7102.7255</v>
      </c>
      <c r="E16" s="154">
        <f>'2. Financial Summary'!$H$6</f>
        <v>7102.7255</v>
      </c>
      <c r="F16" s="154">
        <f>'2. Financial Summary'!$H$6</f>
        <v>7102.7255</v>
      </c>
      <c r="G16" s="154">
        <f>'2. Financial Summary'!$H$6</f>
        <v>7102.7255</v>
      </c>
      <c r="H16" s="154">
        <f>'2. Financial Summary'!$H$6</f>
        <v>7102.7255</v>
      </c>
      <c r="I16" s="154">
        <f>'2. Financial Summary'!$H$6</f>
        <v>7102.7255</v>
      </c>
      <c r="J16" s="154">
        <f>'2. Financial Summary'!$H$6</f>
        <v>7102.7255</v>
      </c>
      <c r="K16" s="154">
        <f>'2. Financial Summary'!$H$6</f>
        <v>7102.7255</v>
      </c>
      <c r="L16" s="154">
        <f>'2. Financial Summary'!$H$6</f>
        <v>7102.7255</v>
      </c>
      <c r="M16" s="154">
        <f>'2. Financial Summary'!$H$6</f>
        <v>7102.7255</v>
      </c>
      <c r="N16" s="154">
        <f>'2. Financial Summary'!$H$6</f>
        <v>7102.7255</v>
      </c>
      <c r="O16" s="154">
        <f>'2. Financial Summary'!$H$6</f>
        <v>7102.7255</v>
      </c>
      <c r="P16" s="155" t="s">
        <v>102</v>
      </c>
    </row>
    <row r="17" ht="15.75" customHeight="1">
      <c r="A17" s="126" t="s">
        <v>282</v>
      </c>
      <c r="B17" s="72" t="s">
        <v>99</v>
      </c>
      <c r="C17" s="155" t="s">
        <v>102</v>
      </c>
      <c r="D17" s="154">
        <f>D4*D16</f>
        <v>85232.706</v>
      </c>
      <c r="E17" s="154">
        <f t="shared" ref="E17:O17" si="7">E16*E4</f>
        <v>85232.706</v>
      </c>
      <c r="F17" s="154">
        <f t="shared" si="7"/>
        <v>127849.059</v>
      </c>
      <c r="G17" s="154">
        <f t="shared" si="7"/>
        <v>127849.059</v>
      </c>
      <c r="H17" s="154">
        <f t="shared" si="7"/>
        <v>127849.059</v>
      </c>
      <c r="I17" s="154">
        <f t="shared" si="7"/>
        <v>191773.5885</v>
      </c>
      <c r="J17" s="154">
        <f t="shared" si="7"/>
        <v>191773.5885</v>
      </c>
      <c r="K17" s="154">
        <f t="shared" si="7"/>
        <v>191773.5885</v>
      </c>
      <c r="L17" s="154">
        <f t="shared" si="7"/>
        <v>127849.059</v>
      </c>
      <c r="M17" s="154">
        <f t="shared" si="7"/>
        <v>127849.059</v>
      </c>
      <c r="N17" s="154">
        <f t="shared" si="7"/>
        <v>127849.059</v>
      </c>
      <c r="O17" s="154">
        <f t="shared" si="7"/>
        <v>127849.059</v>
      </c>
      <c r="P17" s="50">
        <f t="shared" ref="P17:P20" si="8">SUM(D17:O17)</f>
        <v>1640729.591</v>
      </c>
    </row>
    <row r="18" ht="15.75" customHeight="1">
      <c r="A18" s="126" t="s">
        <v>283</v>
      </c>
      <c r="B18" s="72" t="s">
        <v>99</v>
      </c>
      <c r="C18" s="155" t="s">
        <v>102</v>
      </c>
      <c r="D18" s="156">
        <f>(D16/12)*D51+('2. Financial Summary'!$F$6/12)*D50</f>
        <v>170131.7678</v>
      </c>
      <c r="E18" s="156">
        <f>(E16/12)*E51+('2. Financial Summary'!$F$6/12)*E50</f>
        <v>177636.4064</v>
      </c>
      <c r="F18" s="156">
        <f>(F16/12)*F51+('2. Financial Summary'!$F$6/12)*F50</f>
        <v>188692.4078</v>
      </c>
      <c r="G18" s="156">
        <f>(G16/12)*G51+('2. Financial Summary'!$F$6/12)*G50</f>
        <v>199748.4092</v>
      </c>
      <c r="H18" s="156">
        <f>(H16/12)*H51+('2. Financial Summary'!$F$6/12)*H50</f>
        <v>210804.4105</v>
      </c>
      <c r="I18" s="156">
        <f>(I16/12)*I51+('2. Financial Summary'!$F$6/12)*I50</f>
        <v>227187.456</v>
      </c>
      <c r="J18" s="156">
        <f>(J16/12)*J51+('2. Financial Summary'!$F$6/12)*J50</f>
        <v>243570.5015</v>
      </c>
      <c r="K18" s="156">
        <f>(K16/12)*K51+('2. Financial Summary'!$F$6/12)*K50</f>
        <v>259953.547</v>
      </c>
      <c r="L18" s="156">
        <f>(L16/12)*L51+('2. Financial Summary'!$F$6/12)*L50</f>
        <v>271009.5484</v>
      </c>
      <c r="M18" s="156">
        <f>(M16/12)*M51+('2. Financial Summary'!$F$6/12)*M50</f>
        <v>282065.5498</v>
      </c>
      <c r="N18" s="156">
        <f>(N16/12)*N51+('2. Financial Summary'!$F$6/12)*N50</f>
        <v>293121.5512</v>
      </c>
      <c r="O18" s="156">
        <f>(O16/12)*O51+('2. Financial Summary'!$F$6/12)*O50</f>
        <v>304091.3544</v>
      </c>
      <c r="P18" s="157">
        <f t="shared" si="8"/>
        <v>2828012.91</v>
      </c>
    </row>
    <row r="19" ht="15.75" customHeight="1">
      <c r="A19" s="126" t="s">
        <v>284</v>
      </c>
      <c r="B19" s="72" t="s">
        <v>99</v>
      </c>
      <c r="C19" s="155" t="s">
        <v>102</v>
      </c>
      <c r="D19" s="158">
        <v>0.0</v>
      </c>
      <c r="E19" s="158">
        <v>0.0</v>
      </c>
      <c r="F19" s="158">
        <v>0.0</v>
      </c>
      <c r="G19" s="158">
        <v>0.0</v>
      </c>
      <c r="H19" s="88">
        <v>0.0</v>
      </c>
      <c r="I19" s="88">
        <v>0.0</v>
      </c>
      <c r="J19" s="154">
        <f>'2. Financial Summary'!H9/2</f>
        <v>52001</v>
      </c>
      <c r="K19" s="154">
        <f>'2. Financial Summary'!H9/2</f>
        <v>52001</v>
      </c>
      <c r="L19" s="88">
        <v>0.0</v>
      </c>
      <c r="M19" s="88">
        <v>0.0</v>
      </c>
      <c r="N19" s="88">
        <v>0.0</v>
      </c>
      <c r="O19" s="88">
        <v>0.0</v>
      </c>
      <c r="P19" s="154">
        <f t="shared" si="8"/>
        <v>104002</v>
      </c>
    </row>
    <row r="20" ht="15.75" customHeight="1">
      <c r="A20" s="126" t="s">
        <v>285</v>
      </c>
      <c r="B20" s="72" t="s">
        <v>99</v>
      </c>
      <c r="C20" s="155" t="s">
        <v>102</v>
      </c>
      <c r="D20" s="158">
        <v>0.0</v>
      </c>
      <c r="E20" s="158">
        <v>0.0</v>
      </c>
      <c r="F20" s="158">
        <v>0.0</v>
      </c>
      <c r="G20" s="154">
        <f>'2. Financial Summary'!H11/2</f>
        <v>33362.16</v>
      </c>
      <c r="H20" s="88">
        <v>0.0</v>
      </c>
      <c r="I20" s="88">
        <v>0.0</v>
      </c>
      <c r="J20" s="88">
        <v>0.0</v>
      </c>
      <c r="K20" s="88">
        <v>0.0</v>
      </c>
      <c r="L20" s="88">
        <v>0.0</v>
      </c>
      <c r="M20" s="88">
        <v>0.0</v>
      </c>
      <c r="N20" s="88">
        <v>0.0</v>
      </c>
      <c r="O20" s="154">
        <f>'2. Financial Summary'!H11/2</f>
        <v>33362.16</v>
      </c>
      <c r="P20" s="154">
        <f t="shared" si="8"/>
        <v>66724.32</v>
      </c>
    </row>
    <row r="21" ht="15.75" customHeight="1">
      <c r="A21" s="126" t="s">
        <v>49</v>
      </c>
      <c r="B21" s="72" t="s">
        <v>99</v>
      </c>
      <c r="C21" s="155" t="s">
        <v>102</v>
      </c>
      <c r="D21" s="154">
        <f t="shared" ref="D21:O21" si="9">SUM(D18:D20)</f>
        <v>170131.7678</v>
      </c>
      <c r="E21" s="154">
        <f t="shared" si="9"/>
        <v>177636.4064</v>
      </c>
      <c r="F21" s="154">
        <f t="shared" si="9"/>
        <v>188692.4078</v>
      </c>
      <c r="G21" s="154">
        <f t="shared" si="9"/>
        <v>233110.5692</v>
      </c>
      <c r="H21" s="154">
        <f t="shared" si="9"/>
        <v>210804.4105</v>
      </c>
      <c r="I21" s="154">
        <f t="shared" si="9"/>
        <v>227187.456</v>
      </c>
      <c r="J21" s="154">
        <f t="shared" si="9"/>
        <v>295571.5015</v>
      </c>
      <c r="K21" s="154">
        <f t="shared" si="9"/>
        <v>311954.547</v>
      </c>
      <c r="L21" s="154">
        <f t="shared" si="9"/>
        <v>271009.5484</v>
      </c>
      <c r="M21" s="154">
        <f t="shared" si="9"/>
        <v>282065.5498</v>
      </c>
      <c r="N21" s="154">
        <f t="shared" si="9"/>
        <v>293121.5512</v>
      </c>
      <c r="O21" s="154">
        <f t="shared" si="9"/>
        <v>337453.5144</v>
      </c>
      <c r="P21" s="50">
        <f>SUM(B21:O21)</f>
        <v>2998739.23</v>
      </c>
      <c r="Q21" s="50"/>
    </row>
    <row r="22" ht="15.75" customHeight="1">
      <c r="A22" s="126" t="s">
        <v>286</v>
      </c>
      <c r="B22" s="72" t="s">
        <v>99</v>
      </c>
      <c r="C22" s="155" t="s">
        <v>102</v>
      </c>
      <c r="D22" s="159">
        <f>IF(OR(D$15="JAN", D$15="FEB"), 0, IF(OR(D$15="MAR", D$15="APR", D$15="MAY"), 2, IF(OR(D$15="JUN", D$15="JUL", D$15="AUG"), 4, IF(OR(D$15="SEP", D$15="OCT", D$15="NOV"), 6, 8)))) * D12 * AVERAGE('3. Assumptions and Drivers'!$G$50,'3. Assumptions and Drivers'!$G$51) *'3. Assumptions and Drivers'!$G$52  * ('2. Financial Summary'!$F$14 / 12)</f>
        <v>0</v>
      </c>
      <c r="E22" s="159">
        <f>IF(OR(E$15="JAN", E$15="FEB"), 0, IF(OR(E$15="MAR", E$15="APR", E$15="MAY"), 2, IF(OR(E$15="JUN", E$15="JUL", E$15="AUG"), 4, IF(OR(E$15="SEP", E$15="OCT", E$15="NOV"), 6, 8)))) * E12 * AVERAGE('3. Assumptions and Drivers'!$G$50,'3. Assumptions and Drivers'!$G$51) * '3. Assumptions and Drivers'!$C$28 * ('2. Financial Summary'!$H$6 / 12)</f>
        <v>0</v>
      </c>
      <c r="F22" s="156">
        <f>IF(OR(F$15="JAN", F$15="FEB"), 0, IF(OR(F$15="MAR", F$15="APR", F$15="MAY"), 2, IF(OR(F$15="JUN", F$15="JUL", F$15="AUG"), 4, IF(OR(F$15="SEP", F$15="OCT", F$15="NOV"), 6, 8)))) * F12 * AVERAGE('3. Assumptions and Drivers'!$G$50,'3. Assumptions and Drivers'!$G$51) * '3. Assumptions and Drivers'!$C$28 * ('2. Financial Summary'!$H$6 / 12)</f>
        <v>326.274054</v>
      </c>
      <c r="G22" s="156">
        <f>IF(OR(G$15="JAN", G$15="FEB"), 0, IF(OR(G$15="MAR", G$15="APR", G$15="MAY"), 2, IF(OR(G$15="JUN", G$15="JUL", G$15="AUG"), 4, IF(OR(G$15="SEP", G$15="OCT", G$15="NOV"), 6, 8)))) * G12 * AVERAGE('3. Assumptions and Drivers'!$G$50,'3. Assumptions and Drivers'!$G$51) * '3. Assumptions and Drivers'!$C$28 * ('2. Financial Summary'!$H$6 / 12)</f>
        <v>321.3726801</v>
      </c>
      <c r="H22" s="156">
        <f>IF(OR(H$15="JAN", H$15="FEB"), 0, IF(OR(H$15="MAR", H$15="APR", H$15="MAY"), 2, IF(OR(H$15="JUN", H$15="JUL", H$15="AUG"), 4, IF(OR(H$15="SEP", H$15="OCT", H$15="NOV"), 6, 8)))) * H12 * AVERAGE('3. Assumptions and Drivers'!$G$50,'3. Assumptions and Drivers'!$G$51) * '3. Assumptions and Drivers'!$C$28 * ('2. Financial Summary'!$H$6 / 12)</f>
        <v>317.083978</v>
      </c>
      <c r="I22" s="156">
        <f>IF(OR(I$15="JAN", I$15="FEB"), 0, IF(OR(I$15="MAR", I$15="APR", I$15="MAY"), 2, IF(OR(I$15="JUN", I$15="JUL", I$15="AUG"), 4, IF(OR(I$15="SEP", I$15="OCT", I$15="NOV"), 6, 8)))) * I12 * AVERAGE('3. Assumptions and Drivers'!$G$50,'3. Assumptions and Drivers'!$G$51) * '3. Assumptions and Drivers'!$C$28 * ('2. Financial Summary'!$H$6 / 12)</f>
        <v>660.9229567</v>
      </c>
      <c r="J22" s="156">
        <f>IF(OR(J$15="JAN", J$15="FEB"), 0, IF(OR(J$15="MAR", J$15="APR", J$15="MAY"), 2, IF(OR(J$15="JUN", J$15="JUL", J$15="AUG"), 4, IF(OR(J$15="SEP", J$15="OCT", J$15="NOV"), 6, 8)))) * J12 * AVERAGE('3. Assumptions and Drivers'!$G$50,'3. Assumptions and Drivers'!$G$51) * '3. Assumptions and Drivers'!$C$28 * ('2. Financial Summary'!$H$6 / 12)</f>
        <v>647.9872375</v>
      </c>
      <c r="K22" s="156">
        <f>IF(OR(K$15="JAN", K$15="FEB"), 0, IF(OR(K$15="MAR", K$15="APR", K$15="MAY"), 2, IF(OR(K$15="JUN", K$15="JUL", K$15="AUG"), 4, IF(OR(K$15="SEP", K$15="OCT", K$15="NOV"), 6, 8)))) * K12 * AVERAGE('3. Assumptions and Drivers'!$G$50,'3. Assumptions and Drivers'!$G$51) * '3. Assumptions and Drivers'!$C$28 * ('2. Financial Summary'!$H$6 / 12)</f>
        <v>653.8058823</v>
      </c>
      <c r="L22" s="156">
        <f>IF(OR(L$15="JAN", L$15="FEB"), 0, IF(OR(L$15="MAR", L$15="APR", L$15="MAY"), 2, IF(OR(L$15="JUN", L$15="JUL", L$15="AUG"), 4, IF(OR(L$15="SEP", L$15="OCT", L$15="NOV"), 6, 8)))) * L12 * AVERAGE('3. Assumptions and Drivers'!$G$50,'3. Assumptions and Drivers'!$G$51) * '3. Assumptions and Drivers'!$C$28 * ('2. Financial Summary'!$H$6 / 12)</f>
        <v>945.9379504</v>
      </c>
      <c r="M22" s="156">
        <f>IF(OR(M$15="JAN", M$15="FEB"), 0, IF(OR(M$15="MAR", M$15="APR", M$15="MAY"), 2, IF(OR(M$15="JUN", M$15="JUL", M$15="AUG"), 4, IF(OR(M$15="SEP", M$15="OCT", M$15="NOV"), 6, 8)))) * M12 * AVERAGE('3. Assumptions and Drivers'!$G$50,'3. Assumptions and Drivers'!$G$51) * '3. Assumptions and Drivers'!$C$28 * ('2. Financial Summary'!$H$6 / 12)</f>
        <v>959.5232535</v>
      </c>
      <c r="N22" s="156">
        <f>IF(OR(N$15="JAN", N$15="FEB"), 0, IF(OR(N$15="MAR", N$15="APR", N$15="MAY"), 2, IF(OR(N$15="JUN", N$15="JUL", N$15="AUG"), 4, IF(OR(N$15="SEP", N$15="OCT", N$15="NOV"), 6, 8)))) * N12 * AVERAGE('3. Assumptions and Drivers'!$G$50,'3. Assumptions and Drivers'!$G$51) * '3. Assumptions and Drivers'!$C$28 * ('2. Financial Summary'!$H$6 / 12)</f>
        <v>950.3749392</v>
      </c>
      <c r="O22" s="156">
        <f>IF(OR(O$15="JAN", O$15="FEB"), 0, IF(OR(O$15="MAR", O$15="APR", O$15="MAY"), 2, IF(OR(O$15="JUN", O$15="JUL", O$15="AUG"), 4, IF(OR(O$15="SEP", O$15="OCT", O$15="NOV"), 6, 8)))) * O12 * AVERAGE('3. Assumptions and Drivers'!$G$50,'3. Assumptions and Drivers'!$G$51) * '3. Assumptions and Drivers'!$C$28 * ('2. Financial Summary'!$H$6 / 12)</f>
        <v>1256.029507</v>
      </c>
      <c r="P22" s="156">
        <f t="shared" ref="P22:P23" si="10">SUM(D22:O22)</f>
        <v>7039.312439</v>
      </c>
    </row>
    <row r="23" ht="15.75" customHeight="1">
      <c r="A23" s="126" t="s">
        <v>287</v>
      </c>
      <c r="B23" s="72" t="s">
        <v>99</v>
      </c>
      <c r="C23" s="155" t="s">
        <v>102</v>
      </c>
      <c r="D23" s="154">
        <f>'3. Assumptions and Drivers'!$G$47/12</f>
        <v>7070.032275</v>
      </c>
      <c r="E23" s="154">
        <f>'3. Assumptions and Drivers'!$G$47/12</f>
        <v>7070.032275</v>
      </c>
      <c r="F23" s="154">
        <f>'3. Assumptions and Drivers'!$G$47/12</f>
        <v>7070.032275</v>
      </c>
      <c r="G23" s="154">
        <f>'3. Assumptions and Drivers'!$G$47/12</f>
        <v>7070.032275</v>
      </c>
      <c r="H23" s="154">
        <f>'3. Assumptions and Drivers'!$G$47/12</f>
        <v>7070.032275</v>
      </c>
      <c r="I23" s="154">
        <f>'3. Assumptions and Drivers'!$G$47/12</f>
        <v>7070.032275</v>
      </c>
      <c r="J23" s="154">
        <f>'3. Assumptions and Drivers'!$G$47/12</f>
        <v>7070.032275</v>
      </c>
      <c r="K23" s="154">
        <f>'3. Assumptions and Drivers'!$G$47/12</f>
        <v>7070.032275</v>
      </c>
      <c r="L23" s="154">
        <f>'3. Assumptions and Drivers'!$G$47/12</f>
        <v>7070.032275</v>
      </c>
      <c r="M23" s="154">
        <f>'3. Assumptions and Drivers'!$G$47/12</f>
        <v>7070.032275</v>
      </c>
      <c r="N23" s="154">
        <f>'3. Assumptions and Drivers'!$G$47/12</f>
        <v>7070.032275</v>
      </c>
      <c r="O23" s="154">
        <f>'3. Assumptions and Drivers'!$G$47/12</f>
        <v>7070.032275</v>
      </c>
      <c r="P23" s="154">
        <f t="shared" si="10"/>
        <v>84840.3873</v>
      </c>
    </row>
    <row r="24" ht="15.75" customHeight="1">
      <c r="A24" s="126" t="s">
        <v>117</v>
      </c>
      <c r="B24" s="72" t="s">
        <v>99</v>
      </c>
      <c r="C24" s="155" t="s">
        <v>102</v>
      </c>
      <c r="D24" s="160">
        <f t="shared" ref="D24:P24" si="11">D21-D22-D23</f>
        <v>163061.7355</v>
      </c>
      <c r="E24" s="160">
        <f t="shared" si="11"/>
        <v>170566.3741</v>
      </c>
      <c r="F24" s="160">
        <f t="shared" si="11"/>
        <v>181296.1015</v>
      </c>
      <c r="G24" s="160">
        <f t="shared" si="11"/>
        <v>225719.1642</v>
      </c>
      <c r="H24" s="160">
        <f t="shared" si="11"/>
        <v>203417.2943</v>
      </c>
      <c r="I24" s="160">
        <f t="shared" si="11"/>
        <v>219456.5008</v>
      </c>
      <c r="J24" s="160">
        <f t="shared" si="11"/>
        <v>287853.482</v>
      </c>
      <c r="K24" s="160">
        <f t="shared" si="11"/>
        <v>304230.7089</v>
      </c>
      <c r="L24" s="160">
        <f t="shared" si="11"/>
        <v>262993.5782</v>
      </c>
      <c r="M24" s="160">
        <f t="shared" si="11"/>
        <v>274035.9943</v>
      </c>
      <c r="N24" s="160">
        <f t="shared" si="11"/>
        <v>285101.1439</v>
      </c>
      <c r="O24" s="160">
        <f t="shared" si="11"/>
        <v>329127.4526</v>
      </c>
      <c r="P24" s="161">
        <f t="shared" si="11"/>
        <v>2906859.53</v>
      </c>
    </row>
    <row r="25" ht="15.75" customHeight="1">
      <c r="A25" s="14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162" t="s">
        <v>288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</row>
    <row r="27" ht="15.75" customHeight="1">
      <c r="A27" s="126" t="s">
        <v>289</v>
      </c>
      <c r="B27" s="72" t="s">
        <v>55</v>
      </c>
      <c r="C27" s="70" t="s">
        <v>102</v>
      </c>
      <c r="D27" s="74">
        <f>ROUND('2. Financial Summary'!$G$4/12,0)</f>
        <v>24</v>
      </c>
      <c r="E27" s="74">
        <f>ROUND('2. Financial Summary'!$G$4/12,0)</f>
        <v>24</v>
      </c>
      <c r="F27" s="74">
        <f>ROUND('2. Financial Summary'!$G$4/12,0)</f>
        <v>24</v>
      </c>
      <c r="G27" s="74">
        <f>ROUND('2. Financial Summary'!$G$4/12,0)</f>
        <v>24</v>
      </c>
      <c r="H27" s="74">
        <f>ROUND('2. Financial Summary'!$G$4/12,0)</f>
        <v>24</v>
      </c>
      <c r="I27" s="74">
        <f>ROUND('2. Financial Summary'!$G$4/12,0)</f>
        <v>24</v>
      </c>
      <c r="J27" s="74">
        <f>ROUND('2. Financial Summary'!$G$4/12,0)</f>
        <v>24</v>
      </c>
      <c r="K27" s="74">
        <f>ROUND('2. Financial Summary'!$G$4/12,0)</f>
        <v>24</v>
      </c>
      <c r="L27" s="74">
        <f>ROUND('2. Financial Summary'!$G$4/12,0)</f>
        <v>24</v>
      </c>
      <c r="M27" s="74">
        <f>ROUND('2. Financial Summary'!$G$4/12,0)</f>
        <v>24</v>
      </c>
      <c r="N27" s="74">
        <f>ROUND('2. Financial Summary'!$G$4/12,0)</f>
        <v>24</v>
      </c>
      <c r="O27" s="74">
        <f>'2. Financial Summary'!$G$4-SUM(D27:N27)</f>
        <v>19</v>
      </c>
      <c r="P27" s="74">
        <f t="shared" ref="P27:P32" si="12">SUM(D27:O27)</f>
        <v>283</v>
      </c>
    </row>
    <row r="28" ht="15.75" customHeight="1">
      <c r="A28" s="126" t="s">
        <v>290</v>
      </c>
      <c r="B28" s="72" t="s">
        <v>55</v>
      </c>
      <c r="C28" s="70" t="s">
        <v>102</v>
      </c>
      <c r="D28" s="74">
        <f>ROUND(D27*'3. Assumptions and Drivers'!$C$20,0)</f>
        <v>20</v>
      </c>
      <c r="E28" s="74">
        <f>ROUND(E27*'3. Assumptions and Drivers'!$C$20,0)</f>
        <v>20</v>
      </c>
      <c r="F28" s="74">
        <f>ROUND(F27*'3. Assumptions and Drivers'!$C$20,0)</f>
        <v>20</v>
      </c>
      <c r="G28" s="74">
        <f>ROUND(G27*'3. Assumptions and Drivers'!$C$20,0)</f>
        <v>20</v>
      </c>
      <c r="H28" s="74">
        <f>ROUND(H27*'3. Assumptions and Drivers'!$C$20,0)</f>
        <v>20</v>
      </c>
      <c r="I28" s="74">
        <f>ROUND(I27*'3. Assumptions and Drivers'!$C$20,0)</f>
        <v>20</v>
      </c>
      <c r="J28" s="74">
        <f>ROUND(J27*'3. Assumptions and Drivers'!$C$20,0)</f>
        <v>20</v>
      </c>
      <c r="K28" s="74">
        <f>ROUND(K27*'3. Assumptions and Drivers'!$C$20,0)</f>
        <v>20</v>
      </c>
      <c r="L28" s="74">
        <f>ROUND(L27*'3. Assumptions and Drivers'!$C$20,0)</f>
        <v>20</v>
      </c>
      <c r="M28" s="74">
        <f>ROUND(M27*'3. Assumptions and Drivers'!$C$20,0)</f>
        <v>20</v>
      </c>
      <c r="N28" s="74">
        <f>ROUND(N27*'3. Assumptions and Drivers'!$C$20,0)</f>
        <v>20</v>
      </c>
      <c r="O28" s="74">
        <f>ROUND(O27*'3. Assumptions and Drivers'!$C$20,0)</f>
        <v>16</v>
      </c>
      <c r="P28" s="74">
        <f t="shared" si="12"/>
        <v>236</v>
      </c>
    </row>
    <row r="29" ht="15.75" customHeight="1">
      <c r="A29" s="126" t="s">
        <v>291</v>
      </c>
      <c r="B29" s="72" t="s">
        <v>55</v>
      </c>
      <c r="C29" s="70" t="s">
        <v>102</v>
      </c>
      <c r="D29" s="74">
        <f t="shared" ref="D29:O29" si="13">D28+D4</f>
        <v>32</v>
      </c>
      <c r="E29" s="74">
        <f t="shared" si="13"/>
        <v>32</v>
      </c>
      <c r="F29" s="74">
        <f t="shared" si="13"/>
        <v>38</v>
      </c>
      <c r="G29" s="74">
        <f t="shared" si="13"/>
        <v>38</v>
      </c>
      <c r="H29" s="74">
        <f t="shared" si="13"/>
        <v>38</v>
      </c>
      <c r="I29" s="74">
        <f t="shared" si="13"/>
        <v>47</v>
      </c>
      <c r="J29" s="74">
        <f t="shared" si="13"/>
        <v>47</v>
      </c>
      <c r="K29" s="74">
        <f t="shared" si="13"/>
        <v>47</v>
      </c>
      <c r="L29" s="74">
        <f t="shared" si="13"/>
        <v>38</v>
      </c>
      <c r="M29" s="74">
        <f t="shared" si="13"/>
        <v>38</v>
      </c>
      <c r="N29" s="74">
        <f t="shared" si="13"/>
        <v>38</v>
      </c>
      <c r="O29" s="74">
        <f t="shared" si="13"/>
        <v>34</v>
      </c>
      <c r="P29" s="74">
        <f t="shared" si="12"/>
        <v>467</v>
      </c>
    </row>
    <row r="30" ht="15.75" customHeight="1">
      <c r="A30" s="126" t="s">
        <v>292</v>
      </c>
      <c r="B30" s="72" t="s">
        <v>99</v>
      </c>
      <c r="C30" s="163" t="s">
        <v>102</v>
      </c>
      <c r="D30" s="159">
        <f t="shared" ref="D30:O30" si="14">D29*D16</f>
        <v>227287.216</v>
      </c>
      <c r="E30" s="159">
        <f t="shared" si="14"/>
        <v>227287.216</v>
      </c>
      <c r="F30" s="159">
        <f t="shared" si="14"/>
        <v>269903.569</v>
      </c>
      <c r="G30" s="159">
        <f t="shared" si="14"/>
        <v>269903.569</v>
      </c>
      <c r="H30" s="159">
        <f t="shared" si="14"/>
        <v>269903.569</v>
      </c>
      <c r="I30" s="159">
        <f t="shared" si="14"/>
        <v>333828.0985</v>
      </c>
      <c r="J30" s="159">
        <f t="shared" si="14"/>
        <v>333828.0985</v>
      </c>
      <c r="K30" s="159">
        <f t="shared" si="14"/>
        <v>333828.0985</v>
      </c>
      <c r="L30" s="159">
        <f t="shared" si="14"/>
        <v>269903.569</v>
      </c>
      <c r="M30" s="159">
        <f t="shared" si="14"/>
        <v>269903.569</v>
      </c>
      <c r="N30" s="159">
        <f t="shared" si="14"/>
        <v>269903.569</v>
      </c>
      <c r="O30" s="159">
        <f t="shared" si="14"/>
        <v>241492.667</v>
      </c>
      <c r="P30" s="164">
        <f t="shared" si="12"/>
        <v>3316972.809</v>
      </c>
    </row>
    <row r="31" ht="15.75" customHeight="1">
      <c r="A31" s="126" t="s">
        <v>293</v>
      </c>
      <c r="B31" s="72" t="s">
        <v>99</v>
      </c>
      <c r="C31" s="163" t="s">
        <v>102</v>
      </c>
      <c r="D31" s="159">
        <f t="shared" ref="D31:O31" si="15">SUM(D19:D20)</f>
        <v>0</v>
      </c>
      <c r="E31" s="159">
        <f t="shared" si="15"/>
        <v>0</v>
      </c>
      <c r="F31" s="159">
        <f t="shared" si="15"/>
        <v>0</v>
      </c>
      <c r="G31" s="159">
        <f t="shared" si="15"/>
        <v>33362.16</v>
      </c>
      <c r="H31" s="159">
        <f t="shared" si="15"/>
        <v>0</v>
      </c>
      <c r="I31" s="159">
        <f t="shared" si="15"/>
        <v>0</v>
      </c>
      <c r="J31" s="159">
        <f t="shared" si="15"/>
        <v>52001</v>
      </c>
      <c r="K31" s="159">
        <f t="shared" si="15"/>
        <v>52001</v>
      </c>
      <c r="L31" s="159">
        <f t="shared" si="15"/>
        <v>0</v>
      </c>
      <c r="M31" s="159">
        <f t="shared" si="15"/>
        <v>0</v>
      </c>
      <c r="N31" s="159">
        <f t="shared" si="15"/>
        <v>0</v>
      </c>
      <c r="O31" s="159">
        <f t="shared" si="15"/>
        <v>33362.16</v>
      </c>
      <c r="P31" s="159">
        <f t="shared" si="12"/>
        <v>170726.32</v>
      </c>
    </row>
    <row r="32" ht="15.75" customHeight="1">
      <c r="A32" s="126" t="s">
        <v>294</v>
      </c>
      <c r="B32" s="72" t="s">
        <v>99</v>
      </c>
      <c r="C32" s="163" t="s">
        <v>102</v>
      </c>
      <c r="D32" s="165">
        <f t="shared" ref="D32:O32" si="16">SUM(D30:D31)</f>
        <v>227287.216</v>
      </c>
      <c r="E32" s="165">
        <f t="shared" si="16"/>
        <v>227287.216</v>
      </c>
      <c r="F32" s="165">
        <f t="shared" si="16"/>
        <v>269903.569</v>
      </c>
      <c r="G32" s="165">
        <f t="shared" si="16"/>
        <v>303265.729</v>
      </c>
      <c r="H32" s="165">
        <f t="shared" si="16"/>
        <v>269903.569</v>
      </c>
      <c r="I32" s="165">
        <f t="shared" si="16"/>
        <v>333828.0985</v>
      </c>
      <c r="J32" s="165">
        <f t="shared" si="16"/>
        <v>385829.0985</v>
      </c>
      <c r="K32" s="165">
        <f t="shared" si="16"/>
        <v>385829.0985</v>
      </c>
      <c r="L32" s="165">
        <f t="shared" si="16"/>
        <v>269903.569</v>
      </c>
      <c r="M32" s="165">
        <f t="shared" si="16"/>
        <v>269903.569</v>
      </c>
      <c r="N32" s="165">
        <f t="shared" si="16"/>
        <v>269903.569</v>
      </c>
      <c r="O32" s="165">
        <f t="shared" si="16"/>
        <v>274854.827</v>
      </c>
      <c r="P32" s="166">
        <f t="shared" si="12"/>
        <v>3487699.129</v>
      </c>
    </row>
    <row r="33" ht="15.75" customHeight="1">
      <c r="A33" s="149"/>
      <c r="B33" s="3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</row>
    <row r="34" ht="15.75" customHeight="1">
      <c r="A34" s="126" t="s">
        <v>295</v>
      </c>
      <c r="B34" s="3"/>
      <c r="C34" s="167" t="s">
        <v>102</v>
      </c>
      <c r="D34" s="159">
        <f t="shared" ref="D34:O34" si="17">$D$29*$D$16/12</f>
        <v>18940.60133</v>
      </c>
      <c r="E34" s="159">
        <f t="shared" si="17"/>
        <v>18940.60133</v>
      </c>
      <c r="F34" s="159">
        <f t="shared" si="17"/>
        <v>18940.60133</v>
      </c>
      <c r="G34" s="159">
        <f t="shared" si="17"/>
        <v>18940.60133</v>
      </c>
      <c r="H34" s="159">
        <f t="shared" si="17"/>
        <v>18940.60133</v>
      </c>
      <c r="I34" s="159">
        <f t="shared" si="17"/>
        <v>18940.60133</v>
      </c>
      <c r="J34" s="159">
        <f t="shared" si="17"/>
        <v>18940.60133</v>
      </c>
      <c r="K34" s="159">
        <f t="shared" si="17"/>
        <v>18940.60133</v>
      </c>
      <c r="L34" s="159">
        <f t="shared" si="17"/>
        <v>18940.60133</v>
      </c>
      <c r="M34" s="159">
        <f t="shared" si="17"/>
        <v>18940.60133</v>
      </c>
      <c r="N34" s="159">
        <f t="shared" si="17"/>
        <v>18940.60133</v>
      </c>
      <c r="O34" s="159">
        <f t="shared" si="17"/>
        <v>18940.60133</v>
      </c>
      <c r="P34" s="159">
        <f t="shared" ref="P34:P45" si="19">SUM(D34:O34)</f>
        <v>227287.216</v>
      </c>
    </row>
    <row r="35" ht="15.75" customHeight="1">
      <c r="A35" s="168" t="s">
        <v>296</v>
      </c>
      <c r="B35" s="3"/>
      <c r="C35" s="167" t="s">
        <v>102</v>
      </c>
      <c r="D35" s="167" t="s">
        <v>102</v>
      </c>
      <c r="E35" s="159">
        <f t="shared" ref="E35:O35" si="18">$E$29*$E$16/12</f>
        <v>18940.60133</v>
      </c>
      <c r="F35" s="159">
        <f t="shared" si="18"/>
        <v>18940.60133</v>
      </c>
      <c r="G35" s="159">
        <f t="shared" si="18"/>
        <v>18940.60133</v>
      </c>
      <c r="H35" s="159">
        <f t="shared" si="18"/>
        <v>18940.60133</v>
      </c>
      <c r="I35" s="159">
        <f t="shared" si="18"/>
        <v>18940.60133</v>
      </c>
      <c r="J35" s="159">
        <f t="shared" si="18"/>
        <v>18940.60133</v>
      </c>
      <c r="K35" s="159">
        <f t="shared" si="18"/>
        <v>18940.60133</v>
      </c>
      <c r="L35" s="159">
        <f t="shared" si="18"/>
        <v>18940.60133</v>
      </c>
      <c r="M35" s="159">
        <f t="shared" si="18"/>
        <v>18940.60133</v>
      </c>
      <c r="N35" s="159">
        <f t="shared" si="18"/>
        <v>18940.60133</v>
      </c>
      <c r="O35" s="159">
        <f t="shared" si="18"/>
        <v>18940.60133</v>
      </c>
      <c r="P35" s="159">
        <f t="shared" si="19"/>
        <v>208346.6147</v>
      </c>
    </row>
    <row r="36" ht="15.75" customHeight="1">
      <c r="A36" s="126" t="s">
        <v>297</v>
      </c>
      <c r="B36" s="3"/>
      <c r="C36" s="167" t="s">
        <v>102</v>
      </c>
      <c r="D36" s="167" t="s">
        <v>102</v>
      </c>
      <c r="E36" s="167" t="s">
        <v>102</v>
      </c>
      <c r="F36" s="159">
        <f t="shared" ref="F36:O36" si="20">$F$29*$F$16/12</f>
        <v>22491.96408</v>
      </c>
      <c r="G36" s="159">
        <f t="shared" si="20"/>
        <v>22491.96408</v>
      </c>
      <c r="H36" s="159">
        <f t="shared" si="20"/>
        <v>22491.96408</v>
      </c>
      <c r="I36" s="159">
        <f t="shared" si="20"/>
        <v>22491.96408</v>
      </c>
      <c r="J36" s="159">
        <f t="shared" si="20"/>
        <v>22491.96408</v>
      </c>
      <c r="K36" s="159">
        <f t="shared" si="20"/>
        <v>22491.96408</v>
      </c>
      <c r="L36" s="159">
        <f t="shared" si="20"/>
        <v>22491.96408</v>
      </c>
      <c r="M36" s="159">
        <f t="shared" si="20"/>
        <v>22491.96408</v>
      </c>
      <c r="N36" s="159">
        <f t="shared" si="20"/>
        <v>22491.96408</v>
      </c>
      <c r="O36" s="159">
        <f t="shared" si="20"/>
        <v>22491.96408</v>
      </c>
      <c r="P36" s="159">
        <f t="shared" si="19"/>
        <v>224919.6408</v>
      </c>
    </row>
    <row r="37" ht="15.75" customHeight="1">
      <c r="A37" s="126" t="s">
        <v>298</v>
      </c>
      <c r="B37" s="3"/>
      <c r="C37" s="167" t="s">
        <v>102</v>
      </c>
      <c r="D37" s="167" t="s">
        <v>102</v>
      </c>
      <c r="E37" s="167" t="s">
        <v>102</v>
      </c>
      <c r="F37" s="167" t="s">
        <v>102</v>
      </c>
      <c r="G37" s="159">
        <f t="shared" ref="G37:O37" si="21">$G$29*$G$16/12</f>
        <v>22491.96408</v>
      </c>
      <c r="H37" s="159">
        <f t="shared" si="21"/>
        <v>22491.96408</v>
      </c>
      <c r="I37" s="159">
        <f t="shared" si="21"/>
        <v>22491.96408</v>
      </c>
      <c r="J37" s="159">
        <f t="shared" si="21"/>
        <v>22491.96408</v>
      </c>
      <c r="K37" s="159">
        <f t="shared" si="21"/>
        <v>22491.96408</v>
      </c>
      <c r="L37" s="159">
        <f t="shared" si="21"/>
        <v>22491.96408</v>
      </c>
      <c r="M37" s="159">
        <f t="shared" si="21"/>
        <v>22491.96408</v>
      </c>
      <c r="N37" s="159">
        <f t="shared" si="21"/>
        <v>22491.96408</v>
      </c>
      <c r="O37" s="159">
        <f t="shared" si="21"/>
        <v>22491.96408</v>
      </c>
      <c r="P37" s="159">
        <f t="shared" si="19"/>
        <v>202427.6768</v>
      </c>
    </row>
    <row r="38" ht="15.75" customHeight="1">
      <c r="A38" s="126" t="s">
        <v>299</v>
      </c>
      <c r="B38" s="3"/>
      <c r="C38" s="167" t="s">
        <v>102</v>
      </c>
      <c r="D38" s="167" t="s">
        <v>102</v>
      </c>
      <c r="E38" s="167" t="s">
        <v>102</v>
      </c>
      <c r="F38" s="167" t="s">
        <v>102</v>
      </c>
      <c r="G38" s="167" t="s">
        <v>102</v>
      </c>
      <c r="H38" s="159">
        <f t="shared" ref="H38:O38" si="22">$H$29*$H$16/12</f>
        <v>22491.96408</v>
      </c>
      <c r="I38" s="159">
        <f t="shared" si="22"/>
        <v>22491.96408</v>
      </c>
      <c r="J38" s="159">
        <f t="shared" si="22"/>
        <v>22491.96408</v>
      </c>
      <c r="K38" s="159">
        <f t="shared" si="22"/>
        <v>22491.96408</v>
      </c>
      <c r="L38" s="159">
        <f t="shared" si="22"/>
        <v>22491.96408</v>
      </c>
      <c r="M38" s="159">
        <f t="shared" si="22"/>
        <v>22491.96408</v>
      </c>
      <c r="N38" s="159">
        <f t="shared" si="22"/>
        <v>22491.96408</v>
      </c>
      <c r="O38" s="159">
        <f t="shared" si="22"/>
        <v>22491.96408</v>
      </c>
      <c r="P38" s="159">
        <f t="shared" si="19"/>
        <v>179935.7127</v>
      </c>
    </row>
    <row r="39" ht="15.75" customHeight="1">
      <c r="A39" s="126" t="s">
        <v>300</v>
      </c>
      <c r="B39" s="3"/>
      <c r="C39" s="167" t="s">
        <v>102</v>
      </c>
      <c r="D39" s="167" t="s">
        <v>102</v>
      </c>
      <c r="E39" s="167" t="s">
        <v>102</v>
      </c>
      <c r="F39" s="167" t="s">
        <v>102</v>
      </c>
      <c r="G39" s="167" t="s">
        <v>102</v>
      </c>
      <c r="H39" s="167" t="s">
        <v>102</v>
      </c>
      <c r="I39" s="159">
        <f t="shared" ref="I39:O39" si="23">$I$29*$I$16/12</f>
        <v>27819.00821</v>
      </c>
      <c r="J39" s="159">
        <f t="shared" si="23"/>
        <v>27819.00821</v>
      </c>
      <c r="K39" s="159">
        <f t="shared" si="23"/>
        <v>27819.00821</v>
      </c>
      <c r="L39" s="159">
        <f t="shared" si="23"/>
        <v>27819.00821</v>
      </c>
      <c r="M39" s="159">
        <f t="shared" si="23"/>
        <v>27819.00821</v>
      </c>
      <c r="N39" s="159">
        <f t="shared" si="23"/>
        <v>27819.00821</v>
      </c>
      <c r="O39" s="159">
        <f t="shared" si="23"/>
        <v>27819.00821</v>
      </c>
      <c r="P39" s="159">
        <f t="shared" si="19"/>
        <v>194733.0575</v>
      </c>
    </row>
    <row r="40" ht="15.75" customHeight="1">
      <c r="A40" s="126" t="s">
        <v>301</v>
      </c>
      <c r="B40" s="3"/>
      <c r="C40" s="167" t="s">
        <v>102</v>
      </c>
      <c r="D40" s="167" t="s">
        <v>102</v>
      </c>
      <c r="E40" s="167" t="s">
        <v>102</v>
      </c>
      <c r="F40" s="167" t="s">
        <v>102</v>
      </c>
      <c r="G40" s="167" t="s">
        <v>102</v>
      </c>
      <c r="H40" s="167" t="s">
        <v>102</v>
      </c>
      <c r="I40" s="167" t="s">
        <v>102</v>
      </c>
      <c r="J40" s="159">
        <f t="shared" ref="J40:O40" si="24">$J$29*$J$16/12</f>
        <v>27819.00821</v>
      </c>
      <c r="K40" s="159">
        <f t="shared" si="24"/>
        <v>27819.00821</v>
      </c>
      <c r="L40" s="159">
        <f t="shared" si="24"/>
        <v>27819.00821</v>
      </c>
      <c r="M40" s="159">
        <f t="shared" si="24"/>
        <v>27819.00821</v>
      </c>
      <c r="N40" s="159">
        <f t="shared" si="24"/>
        <v>27819.00821</v>
      </c>
      <c r="O40" s="159">
        <f t="shared" si="24"/>
        <v>27819.00821</v>
      </c>
      <c r="P40" s="159">
        <f t="shared" si="19"/>
        <v>166914.0493</v>
      </c>
    </row>
    <row r="41" ht="15.75" customHeight="1">
      <c r="A41" s="126" t="s">
        <v>302</v>
      </c>
      <c r="B41" s="3"/>
      <c r="C41" s="167" t="s">
        <v>102</v>
      </c>
      <c r="D41" s="167" t="s">
        <v>102</v>
      </c>
      <c r="E41" s="167" t="s">
        <v>102</v>
      </c>
      <c r="F41" s="167" t="s">
        <v>102</v>
      </c>
      <c r="G41" s="167" t="s">
        <v>102</v>
      </c>
      <c r="H41" s="167" t="s">
        <v>102</v>
      </c>
      <c r="I41" s="167" t="s">
        <v>102</v>
      </c>
      <c r="J41" s="167" t="s">
        <v>102</v>
      </c>
      <c r="K41" s="159">
        <f t="shared" ref="K41:O41" si="25">$K$29*$K$16/12</f>
        <v>27819.00821</v>
      </c>
      <c r="L41" s="159">
        <f t="shared" si="25"/>
        <v>27819.00821</v>
      </c>
      <c r="M41" s="159">
        <f t="shared" si="25"/>
        <v>27819.00821</v>
      </c>
      <c r="N41" s="159">
        <f t="shared" si="25"/>
        <v>27819.00821</v>
      </c>
      <c r="O41" s="159">
        <f t="shared" si="25"/>
        <v>27819.00821</v>
      </c>
      <c r="P41" s="159">
        <f t="shared" si="19"/>
        <v>139095.041</v>
      </c>
    </row>
    <row r="42" ht="15.75" customHeight="1">
      <c r="A42" s="126" t="s">
        <v>303</v>
      </c>
      <c r="B42" s="3"/>
      <c r="C42" s="167" t="s">
        <v>102</v>
      </c>
      <c r="D42" s="167" t="s">
        <v>102</v>
      </c>
      <c r="E42" s="167" t="s">
        <v>102</v>
      </c>
      <c r="F42" s="167" t="s">
        <v>102</v>
      </c>
      <c r="G42" s="167" t="s">
        <v>102</v>
      </c>
      <c r="H42" s="167" t="s">
        <v>102</v>
      </c>
      <c r="I42" s="167" t="s">
        <v>102</v>
      </c>
      <c r="J42" s="167" t="s">
        <v>102</v>
      </c>
      <c r="K42" s="167" t="s">
        <v>102</v>
      </c>
      <c r="L42" s="159">
        <f t="shared" ref="L42:O42" si="26">$L$29*$L$16/12</f>
        <v>22491.96408</v>
      </c>
      <c r="M42" s="159">
        <f t="shared" si="26"/>
        <v>22491.96408</v>
      </c>
      <c r="N42" s="159">
        <f t="shared" si="26"/>
        <v>22491.96408</v>
      </c>
      <c r="O42" s="159">
        <f t="shared" si="26"/>
        <v>22491.96408</v>
      </c>
      <c r="P42" s="159">
        <f t="shared" si="19"/>
        <v>89967.85633</v>
      </c>
    </row>
    <row r="43" ht="15.75" customHeight="1">
      <c r="A43" s="126" t="s">
        <v>304</v>
      </c>
      <c r="B43" s="3"/>
      <c r="C43" s="167" t="s">
        <v>102</v>
      </c>
      <c r="D43" s="167" t="s">
        <v>102</v>
      </c>
      <c r="E43" s="167" t="s">
        <v>102</v>
      </c>
      <c r="F43" s="167" t="s">
        <v>102</v>
      </c>
      <c r="G43" s="167" t="s">
        <v>102</v>
      </c>
      <c r="H43" s="167" t="s">
        <v>102</v>
      </c>
      <c r="I43" s="167" t="s">
        <v>102</v>
      </c>
      <c r="J43" s="167" t="s">
        <v>102</v>
      </c>
      <c r="K43" s="167" t="s">
        <v>102</v>
      </c>
      <c r="L43" s="167" t="s">
        <v>102</v>
      </c>
      <c r="M43" s="159">
        <f t="shared" ref="M43:O43" si="27">$M$29*$M$16/12</f>
        <v>22491.96408</v>
      </c>
      <c r="N43" s="159">
        <f t="shared" si="27"/>
        <v>22491.96408</v>
      </c>
      <c r="O43" s="159">
        <f t="shared" si="27"/>
        <v>22491.96408</v>
      </c>
      <c r="P43" s="159">
        <f t="shared" si="19"/>
        <v>67475.89225</v>
      </c>
    </row>
    <row r="44" ht="15.75" customHeight="1">
      <c r="A44" s="126" t="s">
        <v>305</v>
      </c>
      <c r="B44" s="3"/>
      <c r="C44" s="167" t="s">
        <v>102</v>
      </c>
      <c r="D44" s="167" t="s">
        <v>102</v>
      </c>
      <c r="E44" s="167" t="s">
        <v>102</v>
      </c>
      <c r="F44" s="167" t="s">
        <v>102</v>
      </c>
      <c r="G44" s="167" t="s">
        <v>102</v>
      </c>
      <c r="H44" s="167" t="s">
        <v>102</v>
      </c>
      <c r="I44" s="167" t="s">
        <v>102</v>
      </c>
      <c r="J44" s="167" t="s">
        <v>102</v>
      </c>
      <c r="K44" s="167" t="s">
        <v>102</v>
      </c>
      <c r="L44" s="167" t="s">
        <v>102</v>
      </c>
      <c r="M44" s="167" t="s">
        <v>102</v>
      </c>
      <c r="N44" s="159">
        <f t="shared" ref="N44:O44" si="28">$N$29*$N$16/12</f>
        <v>22491.96408</v>
      </c>
      <c r="O44" s="159">
        <f t="shared" si="28"/>
        <v>22491.96408</v>
      </c>
      <c r="P44" s="159">
        <f t="shared" si="19"/>
        <v>44983.92817</v>
      </c>
    </row>
    <row r="45" ht="15.75" customHeight="1">
      <c r="A45" s="126" t="s">
        <v>306</v>
      </c>
      <c r="B45" s="3"/>
      <c r="C45" s="167" t="s">
        <v>102</v>
      </c>
      <c r="D45" s="167" t="s">
        <v>102</v>
      </c>
      <c r="E45" s="167" t="s">
        <v>102</v>
      </c>
      <c r="F45" s="167" t="s">
        <v>102</v>
      </c>
      <c r="G45" s="167" t="s">
        <v>102</v>
      </c>
      <c r="H45" s="167" t="s">
        <v>102</v>
      </c>
      <c r="I45" s="167" t="s">
        <v>102</v>
      </c>
      <c r="J45" s="167" t="s">
        <v>102</v>
      </c>
      <c r="K45" s="167" t="s">
        <v>102</v>
      </c>
      <c r="L45" s="167" t="s">
        <v>102</v>
      </c>
      <c r="M45" s="167" t="s">
        <v>102</v>
      </c>
      <c r="N45" s="167" t="s">
        <v>102</v>
      </c>
      <c r="O45" s="159">
        <f>$O$29*$O$16/12</f>
        <v>20124.38892</v>
      </c>
      <c r="P45" s="159">
        <f t="shared" si="19"/>
        <v>20124.38892</v>
      </c>
    </row>
    <row r="46" ht="15.75" customHeight="1">
      <c r="A46" s="149"/>
      <c r="B46" s="3"/>
      <c r="C46" s="169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</row>
    <row r="47" ht="15.75" customHeight="1">
      <c r="A47" s="138" t="s">
        <v>307</v>
      </c>
      <c r="B47" s="3"/>
      <c r="C47" s="167" t="s">
        <v>102</v>
      </c>
      <c r="D47" s="170">
        <f t="shared" ref="D47:O47" si="29">SUM(D34:D45)</f>
        <v>18940.60133</v>
      </c>
      <c r="E47" s="170">
        <f t="shared" si="29"/>
        <v>37881.20267</v>
      </c>
      <c r="F47" s="170">
        <f t="shared" si="29"/>
        <v>60373.16675</v>
      </c>
      <c r="G47" s="170">
        <f t="shared" si="29"/>
        <v>82865.13083</v>
      </c>
      <c r="H47" s="170">
        <f t="shared" si="29"/>
        <v>105357.0949</v>
      </c>
      <c r="I47" s="170">
        <f t="shared" si="29"/>
        <v>133176.1031</v>
      </c>
      <c r="J47" s="170">
        <f t="shared" si="29"/>
        <v>160995.1113</v>
      </c>
      <c r="K47" s="170">
        <f t="shared" si="29"/>
        <v>188814.1195</v>
      </c>
      <c r="L47" s="170">
        <f t="shared" si="29"/>
        <v>211306.0836</v>
      </c>
      <c r="M47" s="170">
        <f t="shared" si="29"/>
        <v>233798.0477</v>
      </c>
      <c r="N47" s="170">
        <f t="shared" si="29"/>
        <v>256290.0118</v>
      </c>
      <c r="O47" s="170">
        <f t="shared" si="29"/>
        <v>276414.4007</v>
      </c>
      <c r="P47" s="171">
        <f>SUM(D47:O47)</f>
        <v>1766211.074</v>
      </c>
    </row>
    <row r="48" ht="15.75" customHeight="1">
      <c r="A48" s="149"/>
      <c r="B48" s="3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</row>
    <row r="49" ht="15.75" customHeight="1">
      <c r="A49" s="172" t="s">
        <v>308</v>
      </c>
      <c r="B49" s="3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</row>
    <row r="50" ht="15.75" customHeight="1">
      <c r="A50" s="138" t="s">
        <v>309</v>
      </c>
      <c r="B50" s="137" t="s">
        <v>55</v>
      </c>
      <c r="C50" s="74">
        <f>'2. Financial Summary'!$G$4</f>
        <v>283</v>
      </c>
      <c r="D50" s="74">
        <f>SUM(E27:O27)</f>
        <v>259</v>
      </c>
      <c r="E50" s="74">
        <f>SUM(F27:O27)</f>
        <v>235</v>
      </c>
      <c r="F50" s="74">
        <f>SUM(G27:O27)</f>
        <v>211</v>
      </c>
      <c r="G50" s="74">
        <f>SUM(H27:O27)</f>
        <v>187</v>
      </c>
      <c r="H50" s="74">
        <f>SUM(I27:O27)</f>
        <v>163</v>
      </c>
      <c r="I50" s="74">
        <f>SUM(J27:O27)</f>
        <v>139</v>
      </c>
      <c r="J50" s="74">
        <f>SUM(K27:O27)</f>
        <v>115</v>
      </c>
      <c r="K50" s="74">
        <f>SUM(L27:O27)</f>
        <v>91</v>
      </c>
      <c r="L50" s="74">
        <f>SUM(M27:O27)</f>
        <v>67</v>
      </c>
      <c r="M50" s="74">
        <f>SUM(N27:O27)</f>
        <v>43</v>
      </c>
      <c r="N50" s="74">
        <f>SUM(O27)</f>
        <v>19</v>
      </c>
      <c r="O50" s="73">
        <v>0.0</v>
      </c>
      <c r="P50" s="3"/>
    </row>
    <row r="51" ht="15.75" customHeight="1">
      <c r="A51" s="138" t="s">
        <v>310</v>
      </c>
      <c r="B51" s="137" t="s">
        <v>55</v>
      </c>
      <c r="C51" s="74">
        <v>0.0</v>
      </c>
      <c r="D51" s="74">
        <f t="shared" ref="D51:O51" si="30">D6-D50</f>
        <v>35.98</v>
      </c>
      <c r="E51" s="74">
        <f t="shared" si="30"/>
        <v>71.96</v>
      </c>
      <c r="F51" s="74">
        <f t="shared" si="30"/>
        <v>113.94</v>
      </c>
      <c r="G51" s="74">
        <f t="shared" si="30"/>
        <v>155.92</v>
      </c>
      <c r="H51" s="74">
        <f t="shared" si="30"/>
        <v>197.9</v>
      </c>
      <c r="I51" s="74">
        <f t="shared" si="30"/>
        <v>248.88</v>
      </c>
      <c r="J51" s="74">
        <f t="shared" si="30"/>
        <v>299.86</v>
      </c>
      <c r="K51" s="74">
        <f t="shared" si="30"/>
        <v>350.84</v>
      </c>
      <c r="L51" s="74">
        <f t="shared" si="30"/>
        <v>392.82</v>
      </c>
      <c r="M51" s="74">
        <f t="shared" si="30"/>
        <v>434.8</v>
      </c>
      <c r="N51" s="74">
        <f t="shared" si="30"/>
        <v>476.78</v>
      </c>
      <c r="O51" s="74">
        <f t="shared" si="30"/>
        <v>513.76</v>
      </c>
      <c r="P51" s="3"/>
    </row>
    <row r="52" ht="15.75" customHeight="1">
      <c r="A52" s="14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14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14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14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14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14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14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14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14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14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14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14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14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14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14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14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14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14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14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14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14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14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14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14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14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14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14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14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14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14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14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14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14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14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14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14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14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14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14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14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14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14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14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14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14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14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14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14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14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14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14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14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14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14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14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14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14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14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14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14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14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14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14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14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14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14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14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14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14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14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14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14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14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14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14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14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14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14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14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14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14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14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14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14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14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14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14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14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14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14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14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14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14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14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14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14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14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14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14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14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14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14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14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14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14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14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14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14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14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14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14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14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14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14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14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14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14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14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14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14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14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14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14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14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14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14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14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14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14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14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14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14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14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14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14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14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14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14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14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14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14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14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14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14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14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14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14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14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14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14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14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14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14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14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14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14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14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14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14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14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14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14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14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14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14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14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14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14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14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14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14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14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14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14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14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14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14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14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14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14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14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14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14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14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14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14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14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14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14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14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14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14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14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14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14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14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</sheetData>
  <conditionalFormatting sqref="A12:P12">
    <cfRule type="cellIs" dxfId="0" priority="1" operator="lessThan">
      <formula>11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6B53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4.88"/>
    <col customWidth="1" min="2" max="2" width="7.63"/>
    <col customWidth="1" min="3" max="6" width="12.63"/>
  </cols>
  <sheetData>
    <row r="1" ht="15.75" customHeight="1">
      <c r="A1" s="69" t="s">
        <v>127</v>
      </c>
      <c r="B1" s="69" t="s">
        <v>311</v>
      </c>
      <c r="C1" s="69" t="s">
        <v>268</v>
      </c>
      <c r="D1" s="69" t="s">
        <v>57</v>
      </c>
      <c r="E1" s="69" t="s">
        <v>59</v>
      </c>
      <c r="F1" s="69" t="s">
        <v>61</v>
      </c>
      <c r="G1" s="69" t="s">
        <v>63</v>
      </c>
      <c r="H1" s="69" t="s">
        <v>65</v>
      </c>
      <c r="I1" s="69" t="s">
        <v>67</v>
      </c>
      <c r="J1" s="69" t="s">
        <v>69</v>
      </c>
      <c r="K1" s="69" t="s">
        <v>71</v>
      </c>
      <c r="L1" s="69" t="s">
        <v>73</v>
      </c>
      <c r="M1" s="69" t="s">
        <v>75</v>
      </c>
      <c r="N1" s="69" t="s">
        <v>77</v>
      </c>
      <c r="O1" s="69" t="s">
        <v>79</v>
      </c>
      <c r="P1" s="69" t="s">
        <v>312</v>
      </c>
      <c r="Q1" s="122"/>
    </row>
    <row r="2" ht="15.75" customHeight="1">
      <c r="A2" s="121" t="s">
        <v>313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</row>
    <row r="3" ht="15.75" customHeight="1">
      <c r="A3" s="72" t="s">
        <v>314</v>
      </c>
      <c r="B3" s="72" t="s">
        <v>138</v>
      </c>
      <c r="C3" s="75">
        <f>'3. Assumptions and Drivers'!$G$3</f>
        <v>1</v>
      </c>
      <c r="D3" s="75">
        <f>'3. Assumptions and Drivers'!$G$3</f>
        <v>1</v>
      </c>
      <c r="E3" s="75">
        <f>'3. Assumptions and Drivers'!$G$3</f>
        <v>1</v>
      </c>
      <c r="F3" s="75">
        <f>'3. Assumptions and Drivers'!$G$3</f>
        <v>1</v>
      </c>
      <c r="G3" s="75">
        <f>'3. Assumptions and Drivers'!$G$3</f>
        <v>1</v>
      </c>
      <c r="H3" s="75">
        <f>'3. Assumptions and Drivers'!$G$3</f>
        <v>1</v>
      </c>
      <c r="I3" s="75">
        <f>'3. Assumptions and Drivers'!$G$3</f>
        <v>1</v>
      </c>
      <c r="J3" s="75">
        <f>'3. Assumptions and Drivers'!$G$3</f>
        <v>1</v>
      </c>
      <c r="K3" s="75">
        <f>'3. Assumptions and Drivers'!$G$3</f>
        <v>1</v>
      </c>
      <c r="L3" s="75">
        <f>'3. Assumptions and Drivers'!$G$3</f>
        <v>1</v>
      </c>
      <c r="M3" s="75">
        <f>'3. Assumptions and Drivers'!$G$3</f>
        <v>1</v>
      </c>
      <c r="N3" s="75">
        <f>'3. Assumptions and Drivers'!$G$3</f>
        <v>1</v>
      </c>
      <c r="O3" s="75">
        <f>'3. Assumptions and Drivers'!$G$3</f>
        <v>1</v>
      </c>
      <c r="P3" s="75">
        <f t="shared" ref="P3:P7" si="1">O3</f>
        <v>1</v>
      </c>
    </row>
    <row r="4" ht="15.75" customHeight="1">
      <c r="A4" s="72" t="s">
        <v>315</v>
      </c>
      <c r="B4" s="72" t="s">
        <v>138</v>
      </c>
      <c r="C4" s="75">
        <f>'3. Assumptions and Drivers'!$G$4</f>
        <v>1</v>
      </c>
      <c r="D4" s="75">
        <f>'3. Assumptions and Drivers'!$G$4</f>
        <v>1</v>
      </c>
      <c r="E4" s="75">
        <f>'3. Assumptions and Drivers'!$G$4</f>
        <v>1</v>
      </c>
      <c r="F4" s="75">
        <f>'3. Assumptions and Drivers'!$G$4</f>
        <v>1</v>
      </c>
      <c r="G4" s="75">
        <f>'3. Assumptions and Drivers'!$G$4</f>
        <v>1</v>
      </c>
      <c r="H4" s="75">
        <f>'3. Assumptions and Drivers'!$G$4</f>
        <v>1</v>
      </c>
      <c r="I4" s="75">
        <f>'3. Assumptions and Drivers'!$G$4</f>
        <v>1</v>
      </c>
      <c r="J4" s="75">
        <f>'3. Assumptions and Drivers'!$G$4</f>
        <v>1</v>
      </c>
      <c r="K4" s="75">
        <f>'3. Assumptions and Drivers'!$G$4</f>
        <v>1</v>
      </c>
      <c r="L4" s="75">
        <f>'3. Assumptions and Drivers'!$G$4</f>
        <v>1</v>
      </c>
      <c r="M4" s="75">
        <f>'3. Assumptions and Drivers'!$G$4</f>
        <v>1</v>
      </c>
      <c r="N4" s="75">
        <f>'3. Assumptions and Drivers'!$G$4</f>
        <v>1</v>
      </c>
      <c r="O4" s="75">
        <f>'3. Assumptions and Drivers'!$G$4</f>
        <v>1</v>
      </c>
      <c r="P4" s="75">
        <f t="shared" si="1"/>
        <v>1</v>
      </c>
    </row>
    <row r="5" ht="15.75" customHeight="1">
      <c r="A5" s="72" t="s">
        <v>141</v>
      </c>
      <c r="B5" s="72" t="s">
        <v>138</v>
      </c>
      <c r="C5" s="75">
        <f>'3. Assumptions and Drivers'!$G$5</f>
        <v>1</v>
      </c>
      <c r="D5" s="75">
        <f>'3. Assumptions and Drivers'!$G$5</f>
        <v>1</v>
      </c>
      <c r="E5" s="75">
        <f>'3. Assumptions and Drivers'!$G$5</f>
        <v>1</v>
      </c>
      <c r="F5" s="75">
        <f>'3. Assumptions and Drivers'!$G$5</f>
        <v>1</v>
      </c>
      <c r="G5" s="75">
        <f>'3. Assumptions and Drivers'!$G$5</f>
        <v>1</v>
      </c>
      <c r="H5" s="75">
        <f>'3. Assumptions and Drivers'!$G$5</f>
        <v>1</v>
      </c>
      <c r="I5" s="75">
        <f>'3. Assumptions and Drivers'!$G$5</f>
        <v>1</v>
      </c>
      <c r="J5" s="75">
        <f>'3. Assumptions and Drivers'!$G$5</f>
        <v>1</v>
      </c>
      <c r="K5" s="75">
        <f>'3. Assumptions and Drivers'!$G$5</f>
        <v>1</v>
      </c>
      <c r="L5" s="75">
        <f>'3. Assumptions and Drivers'!$G$5</f>
        <v>1</v>
      </c>
      <c r="M5" s="75">
        <f>'3. Assumptions and Drivers'!$G$5</f>
        <v>1</v>
      </c>
      <c r="N5" s="75">
        <f>'3. Assumptions and Drivers'!$G$5</f>
        <v>1</v>
      </c>
      <c r="O5" s="75">
        <f>'3. Assumptions and Drivers'!$G$5</f>
        <v>1</v>
      </c>
      <c r="P5" s="75">
        <f t="shared" si="1"/>
        <v>1</v>
      </c>
    </row>
    <row r="6" ht="15.75" customHeight="1">
      <c r="A6" s="72" t="s">
        <v>316</v>
      </c>
      <c r="B6" s="72" t="s">
        <v>138</v>
      </c>
      <c r="C6" s="75">
        <f>'3. Assumptions and Drivers'!$G$7</f>
        <v>1</v>
      </c>
      <c r="D6" s="75">
        <f>ROUNDUP(C7/'3. Assumptions and Drivers'!$G$8,0)</f>
        <v>1</v>
      </c>
      <c r="E6" s="75">
        <f>ROUNDUP(D7/'3. Assumptions and Drivers'!$G$8,0)</f>
        <v>1</v>
      </c>
      <c r="F6" s="75">
        <f>ROUNDUP(E7/'3. Assumptions and Drivers'!$G$8,0)</f>
        <v>1</v>
      </c>
      <c r="G6" s="75">
        <f>ROUNDUP(F7/'3. Assumptions and Drivers'!$G$8,0)</f>
        <v>1</v>
      </c>
      <c r="H6" s="75">
        <f>ROUNDUP(G7/'3. Assumptions and Drivers'!$G$8,0)</f>
        <v>1</v>
      </c>
      <c r="I6" s="75">
        <f>ROUNDUP(H7/'3. Assumptions and Drivers'!$G$8,0)</f>
        <v>1</v>
      </c>
      <c r="J6" s="75">
        <f>ROUNDUP(I7/'3. Assumptions and Drivers'!$G$8,0)</f>
        <v>1</v>
      </c>
      <c r="K6" s="75">
        <f>ROUNDUP(J7/'3. Assumptions and Drivers'!$G$8,0)</f>
        <v>1</v>
      </c>
      <c r="L6" s="75">
        <f>ROUNDUP(K7/'3. Assumptions and Drivers'!$G$8,0)</f>
        <v>1</v>
      </c>
      <c r="M6" s="75">
        <f>ROUNDUP(L7/'3. Assumptions and Drivers'!$G$8,0)</f>
        <v>1</v>
      </c>
      <c r="N6" s="75">
        <f>ROUNDUP(M7/'3. Assumptions and Drivers'!$G$8,0)</f>
        <v>1</v>
      </c>
      <c r="O6" s="75">
        <f>ROUNDUP(N7/'3. Assumptions and Drivers'!$G$8,0)</f>
        <v>1</v>
      </c>
      <c r="P6" s="75">
        <f t="shared" si="1"/>
        <v>1</v>
      </c>
    </row>
    <row r="7" ht="15.75" customHeight="1">
      <c r="A7" s="72" t="s">
        <v>317</v>
      </c>
      <c r="B7" s="72" t="s">
        <v>138</v>
      </c>
      <c r="C7" s="75">
        <f>ROUNDUP(('4. Revenue and Volume '!D11-('3. Assumptions and Drivers'!$G$6*C6))/'3. Assumptions and Drivers'!$G$9,0)</f>
        <v>2</v>
      </c>
      <c r="D7" s="75">
        <f>ROUNDUP(('4. Revenue and Volume '!E11-('3. Assumptions and Drivers'!$G$6*D6))/'3. Assumptions and Drivers'!$G$9,0)</f>
        <v>2</v>
      </c>
      <c r="E7" s="75">
        <f>ROUNDUP(('4. Revenue and Volume '!F11-('3. Assumptions and Drivers'!$G$6*E6))/'3. Assumptions and Drivers'!$G$9,0)</f>
        <v>3</v>
      </c>
      <c r="F7" s="75">
        <f>ROUNDUP(('4. Revenue and Volume '!G11-('3. Assumptions and Drivers'!$G$6*F6))/'3. Assumptions and Drivers'!$G$9,0)</f>
        <v>3</v>
      </c>
      <c r="G7" s="75">
        <f>ROUNDUP(('4. Revenue and Volume '!H11-('3. Assumptions and Drivers'!$G$6*G6))/'3. Assumptions and Drivers'!$G$9,0)</f>
        <v>3</v>
      </c>
      <c r="H7" s="75">
        <f>ROUNDUP(('4. Revenue and Volume '!I11-('3. Assumptions and Drivers'!$G$6*H6))/'3. Assumptions and Drivers'!$G$9,0)</f>
        <v>3</v>
      </c>
      <c r="I7" s="75">
        <f>ROUNDUP(('4. Revenue and Volume '!J11-('3. Assumptions and Drivers'!$G$6*I6))/'3. Assumptions and Drivers'!$G$9,0)</f>
        <v>3</v>
      </c>
      <c r="J7" s="75">
        <f>ROUNDUP(('4. Revenue and Volume '!K11-('3. Assumptions and Drivers'!$G$6*J6))/'3. Assumptions and Drivers'!$G$9,0)</f>
        <v>4</v>
      </c>
      <c r="K7" s="75">
        <f>ROUNDUP(('4. Revenue and Volume '!L11-('3. Assumptions and Drivers'!$G$6*K6))/'3. Assumptions and Drivers'!$G$9,0)</f>
        <v>4</v>
      </c>
      <c r="L7" s="75">
        <f>ROUNDUP(('4. Revenue and Volume '!M11-('3. Assumptions and Drivers'!$G$6*L6))/'3. Assumptions and Drivers'!$G$9,0)</f>
        <v>4</v>
      </c>
      <c r="M7" s="75">
        <f>ROUNDUP(('4. Revenue and Volume '!N11-('3. Assumptions and Drivers'!$G$6*M6))/'3. Assumptions and Drivers'!$G$9,0)</f>
        <v>4</v>
      </c>
      <c r="N7" s="75">
        <f>ROUNDUP(('4. Revenue and Volume '!O11-('3. Assumptions and Drivers'!$G$6*N6))/'3. Assumptions and Drivers'!$G$9,0)</f>
        <v>4</v>
      </c>
      <c r="O7" s="75">
        <f>ROUNDUP(('4. Revenue and Volume '!P11-('3. Assumptions and Drivers'!$G$6*O6))/'3. Assumptions and Drivers'!$G$9,0)</f>
        <v>4</v>
      </c>
      <c r="P7" s="75">
        <f t="shared" si="1"/>
        <v>4</v>
      </c>
    </row>
    <row r="8" ht="15.75" customHeight="1">
      <c r="A8" s="72" t="s">
        <v>318</v>
      </c>
      <c r="B8" s="72" t="s">
        <v>138</v>
      </c>
      <c r="C8" s="75">
        <f>C7*'3. Assumptions and Drivers'!$G$13</f>
        <v>2</v>
      </c>
      <c r="D8" s="75">
        <f>D7*'3. Assumptions and Drivers'!$G$13</f>
        <v>2</v>
      </c>
      <c r="E8" s="75">
        <f>E7*'3. Assumptions and Drivers'!$G$13</f>
        <v>3</v>
      </c>
      <c r="F8" s="75">
        <f>F7*'3. Assumptions and Drivers'!$G$13</f>
        <v>3</v>
      </c>
      <c r="G8" s="75">
        <f>G7*'3. Assumptions and Drivers'!$G$13</f>
        <v>3</v>
      </c>
      <c r="H8" s="75">
        <f>H7*'3. Assumptions and Drivers'!$G$13</f>
        <v>3</v>
      </c>
      <c r="I8" s="75">
        <f>I7*'3. Assumptions and Drivers'!$G$13</f>
        <v>3</v>
      </c>
      <c r="J8" s="75">
        <f>J7*'3. Assumptions and Drivers'!$G$13</f>
        <v>4</v>
      </c>
      <c r="K8" s="75">
        <f>K7*'3. Assumptions and Drivers'!$G$13</f>
        <v>4</v>
      </c>
      <c r="L8" s="75">
        <f>L7*'3. Assumptions and Drivers'!$G$13</f>
        <v>4</v>
      </c>
      <c r="M8" s="75">
        <f>M7*'3. Assumptions and Drivers'!$G$13</f>
        <v>4</v>
      </c>
      <c r="N8" s="75">
        <f>N7*'3. Assumptions and Drivers'!$G$13</f>
        <v>4</v>
      </c>
      <c r="O8" s="75">
        <f>O7*'3. Assumptions and Drivers'!$G$13</f>
        <v>4</v>
      </c>
      <c r="P8" s="75">
        <f>P7*'3. Assumptions and Drivers'!$G$13</f>
        <v>4</v>
      </c>
    </row>
    <row r="9" ht="15.75" customHeight="1">
      <c r="A9" s="72" t="s">
        <v>319</v>
      </c>
      <c r="B9" s="72" t="s">
        <v>138</v>
      </c>
      <c r="C9" s="75">
        <f>ROUNDUP(SUM(C6:C7)*'3. Assumptions and Drivers'!$G$15,0)</f>
        <v>1</v>
      </c>
      <c r="D9" s="75">
        <f>ROUNDUP(SUM(D6:D7)*'3. Assumptions and Drivers'!$G$15,0)</f>
        <v>1</v>
      </c>
      <c r="E9" s="75">
        <f>ROUNDUP(SUM(E6:E7)*'3. Assumptions and Drivers'!$G$15,0)</f>
        <v>2</v>
      </c>
      <c r="F9" s="75">
        <f>ROUNDUP(SUM(F6:F7)*'3. Assumptions and Drivers'!$G$15,0)</f>
        <v>2</v>
      </c>
      <c r="G9" s="75">
        <f>ROUNDUP(SUM(G6:G7)*'3. Assumptions and Drivers'!$G$15,0)</f>
        <v>2</v>
      </c>
      <c r="H9" s="75">
        <f>ROUNDUP(SUM(H6:H7)*'3. Assumptions and Drivers'!$G$15,0)</f>
        <v>2</v>
      </c>
      <c r="I9" s="75">
        <f>ROUNDUP(SUM(I6:I7)*'3. Assumptions and Drivers'!$G$15,0)</f>
        <v>2</v>
      </c>
      <c r="J9" s="75">
        <f>ROUNDUP(SUM(J6:J7)*'3. Assumptions and Drivers'!$G$15,0)</f>
        <v>2</v>
      </c>
      <c r="K9" s="75">
        <f>ROUNDUP(SUM(K6:K7)*'3. Assumptions and Drivers'!$G$15,0)</f>
        <v>2</v>
      </c>
      <c r="L9" s="75">
        <f>ROUNDUP(SUM(L6:L7)*'3. Assumptions and Drivers'!$G$15,0)</f>
        <v>2</v>
      </c>
      <c r="M9" s="75">
        <f>ROUNDUP(SUM(M6:M7)*'3. Assumptions and Drivers'!$G$15,0)</f>
        <v>2</v>
      </c>
      <c r="N9" s="75">
        <f>ROUNDUP(SUM(N6:N7)*'3. Assumptions and Drivers'!$G$15,0)</f>
        <v>2</v>
      </c>
      <c r="O9" s="75">
        <f>ROUNDUP(SUM(O6:O7)*'3. Assumptions and Drivers'!$G$15,0)</f>
        <v>2</v>
      </c>
      <c r="P9" s="75">
        <f t="shared" ref="P9:P14" si="2">O9</f>
        <v>2</v>
      </c>
    </row>
    <row r="10" ht="15.75" customHeight="1">
      <c r="A10" s="72" t="s">
        <v>173</v>
      </c>
      <c r="B10" s="72" t="s">
        <v>138</v>
      </c>
      <c r="C10" s="75">
        <f>'3. Assumptions and Drivers'!$G$38</f>
        <v>2</v>
      </c>
      <c r="D10" s="75">
        <f>MAX(ROUNDDOWN((SUM(D6:D7)/'3. Assumptions and Drivers'!$G$17)+$C$10,0),C10+D16)</f>
        <v>2</v>
      </c>
      <c r="E10" s="75">
        <f>MAX(ROUNDDOWN((SUM(E6:E7)/'3. Assumptions and Drivers'!$G$17)+$C$10,0),D10+E16)</f>
        <v>3</v>
      </c>
      <c r="F10" s="75">
        <f>MAX(ROUNDDOWN((SUM(F6:F7)/'3. Assumptions and Drivers'!$G$17)+$C$10,0),E10+F16)</f>
        <v>3</v>
      </c>
      <c r="G10" s="75">
        <f>MAX(ROUNDDOWN((SUM(G6:G7)/'3. Assumptions and Drivers'!$G$17)+$C$10,0),F10+G16)</f>
        <v>3</v>
      </c>
      <c r="H10" s="75">
        <f>MAX(ROUNDDOWN((SUM(H6:H7)/'3. Assumptions and Drivers'!$G$17)+$C$10,0),G10+H16)</f>
        <v>3</v>
      </c>
      <c r="I10" s="75">
        <f>MAX(ROUNDDOWN((SUM(I6:I7)/'3. Assumptions and Drivers'!$G$17)+$C$10,0),H10+I16)</f>
        <v>3</v>
      </c>
      <c r="J10" s="75">
        <f>MAX(ROUNDDOWN((SUM(J6:J7)/'3. Assumptions and Drivers'!$G$17)+$C$10,0),I10+J16)</f>
        <v>3</v>
      </c>
      <c r="K10" s="75">
        <f>MAX(ROUNDDOWN((SUM(K6:K7)/'3. Assumptions and Drivers'!$G$17)+$C$10,0),J10+K16)</f>
        <v>3</v>
      </c>
      <c r="L10" s="75">
        <f>MAX(ROUNDDOWN((SUM(L6:L7)/'3. Assumptions and Drivers'!$G$17)+$C$10,0),K10+L16)</f>
        <v>3</v>
      </c>
      <c r="M10" s="75">
        <f>MAX(ROUNDDOWN((SUM(M6:M7)/'3. Assumptions and Drivers'!$G$17)+$C$10,0),L10+M16)</f>
        <v>3</v>
      </c>
      <c r="N10" s="75">
        <f>MAX(ROUNDDOWN((SUM(N6:N7)/'3. Assumptions and Drivers'!$G$17)+$C$10,0),M10+N16)</f>
        <v>3</v>
      </c>
      <c r="O10" s="75">
        <f>MAX(ROUNDDOWN((SUM(O6:O7)/'3. Assumptions and Drivers'!$G$17)+$C$10,0),N10+O16)</f>
        <v>3</v>
      </c>
      <c r="P10" s="75">
        <f t="shared" si="2"/>
        <v>3</v>
      </c>
    </row>
    <row r="11" ht="15.75" customHeight="1">
      <c r="A11" s="72" t="s">
        <v>320</v>
      </c>
      <c r="B11" s="72" t="s">
        <v>134</v>
      </c>
      <c r="C11" s="75">
        <f>'3. Assumptions and Drivers'!$G$18</f>
        <v>2</v>
      </c>
      <c r="D11" s="75">
        <f>'3. Assumptions and Drivers'!$G$18</f>
        <v>2</v>
      </c>
      <c r="E11" s="75">
        <f>'3. Assumptions and Drivers'!$G$18</f>
        <v>2</v>
      </c>
      <c r="F11" s="75">
        <f>'3. Assumptions and Drivers'!$G$18</f>
        <v>2</v>
      </c>
      <c r="G11" s="75">
        <f>'3. Assumptions and Drivers'!$G$18</f>
        <v>2</v>
      </c>
      <c r="H11" s="75">
        <f>'3. Assumptions and Drivers'!$G$18</f>
        <v>2</v>
      </c>
      <c r="I11" s="75">
        <f>'3. Assumptions and Drivers'!$G$18</f>
        <v>2</v>
      </c>
      <c r="J11" s="75">
        <f>'3. Assumptions and Drivers'!$G$18</f>
        <v>2</v>
      </c>
      <c r="K11" s="75">
        <f>'3. Assumptions and Drivers'!$G$18</f>
        <v>2</v>
      </c>
      <c r="L11" s="75">
        <f>'3. Assumptions and Drivers'!$G$18</f>
        <v>2</v>
      </c>
      <c r="M11" s="75">
        <f>'3. Assumptions and Drivers'!$G$18</f>
        <v>2</v>
      </c>
      <c r="N11" s="75">
        <f>'3. Assumptions and Drivers'!$G$18</f>
        <v>2</v>
      </c>
      <c r="O11" s="75">
        <f>'3. Assumptions and Drivers'!$G$18</f>
        <v>2</v>
      </c>
      <c r="P11" s="75">
        <f t="shared" si="2"/>
        <v>2</v>
      </c>
    </row>
    <row r="12" ht="15.75" customHeight="1">
      <c r="A12" s="72" t="s">
        <v>321</v>
      </c>
      <c r="B12" s="72" t="s">
        <v>138</v>
      </c>
      <c r="C12" s="75">
        <f>'3. Assumptions and Drivers'!$G$21</f>
        <v>1</v>
      </c>
      <c r="D12" s="75">
        <f>'3. Assumptions and Drivers'!$G$21</f>
        <v>1</v>
      </c>
      <c r="E12" s="75">
        <f>'3. Assumptions and Drivers'!$G$21</f>
        <v>1</v>
      </c>
      <c r="F12" s="75">
        <f>'3. Assumptions and Drivers'!$G$21</f>
        <v>1</v>
      </c>
      <c r="G12" s="75">
        <f>'3. Assumptions and Drivers'!$G$21</f>
        <v>1</v>
      </c>
      <c r="H12" s="75">
        <f>'3. Assumptions and Drivers'!$G$21</f>
        <v>1</v>
      </c>
      <c r="I12" s="75">
        <f>'3. Assumptions and Drivers'!$G$21</f>
        <v>1</v>
      </c>
      <c r="J12" s="75">
        <f>'3. Assumptions and Drivers'!$G$21</f>
        <v>1</v>
      </c>
      <c r="K12" s="75">
        <f>'3. Assumptions and Drivers'!$G$21</f>
        <v>1</v>
      </c>
      <c r="L12" s="75">
        <f>'3. Assumptions and Drivers'!$G$21</f>
        <v>1</v>
      </c>
      <c r="M12" s="75">
        <f>'3. Assumptions and Drivers'!$G$21</f>
        <v>1</v>
      </c>
      <c r="N12" s="75">
        <f>'3. Assumptions and Drivers'!$G$21</f>
        <v>1</v>
      </c>
      <c r="O12" s="75">
        <f>'3. Assumptions and Drivers'!$G$21</f>
        <v>1</v>
      </c>
      <c r="P12" s="75">
        <f t="shared" si="2"/>
        <v>1</v>
      </c>
    </row>
    <row r="13" ht="15.75" customHeight="1">
      <c r="A13" s="72" t="s">
        <v>190</v>
      </c>
      <c r="B13" s="72" t="s">
        <v>138</v>
      </c>
      <c r="C13" s="75">
        <f>'3. Assumptions and Drivers'!$G$22</f>
        <v>1</v>
      </c>
      <c r="D13" s="75">
        <f>'3. Assumptions and Drivers'!$G$22</f>
        <v>1</v>
      </c>
      <c r="E13" s="75">
        <f>'3. Assumptions and Drivers'!$G$22</f>
        <v>1</v>
      </c>
      <c r="F13" s="75">
        <f>'3. Assumptions and Drivers'!$G$22</f>
        <v>1</v>
      </c>
      <c r="G13" s="75">
        <f>'3. Assumptions and Drivers'!$G$22</f>
        <v>1</v>
      </c>
      <c r="H13" s="75">
        <f>'3. Assumptions and Drivers'!$G$22</f>
        <v>1</v>
      </c>
      <c r="I13" s="75">
        <f>'3. Assumptions and Drivers'!$G$22</f>
        <v>1</v>
      </c>
      <c r="J13" s="75">
        <f>'3. Assumptions and Drivers'!$G$22</f>
        <v>1</v>
      </c>
      <c r="K13" s="75">
        <f>'3. Assumptions and Drivers'!$G$22</f>
        <v>1</v>
      </c>
      <c r="L13" s="75">
        <f>'3. Assumptions and Drivers'!$G$22</f>
        <v>1</v>
      </c>
      <c r="M13" s="75">
        <f>'3. Assumptions and Drivers'!$G$22</f>
        <v>1</v>
      </c>
      <c r="N13" s="75">
        <f>'3. Assumptions and Drivers'!$G$22</f>
        <v>1</v>
      </c>
      <c r="O13" s="75">
        <f>'3. Assumptions and Drivers'!$G$22</f>
        <v>1</v>
      </c>
      <c r="P13" s="75">
        <f t="shared" si="2"/>
        <v>1</v>
      </c>
    </row>
    <row r="14" ht="15.75" customHeight="1">
      <c r="A14" s="72" t="s">
        <v>182</v>
      </c>
      <c r="B14" s="72" t="s">
        <v>138</v>
      </c>
      <c r="C14" s="75">
        <f>ROUNDDOWN(SUM(C6:C7)/'3. Assumptions and Drivers'!$G$20,0)+'3. Assumptions and Drivers'!$G$19</f>
        <v>2</v>
      </c>
      <c r="D14" s="75">
        <f>ROUNDDOWN(SUM(D6:D7)/'3. Assumptions and Drivers'!$G$20,0)+'3. Assumptions and Drivers'!$G$19</f>
        <v>2</v>
      </c>
      <c r="E14" s="75">
        <f>ROUNDDOWN(SUM(E6:E7)/'3. Assumptions and Drivers'!$G$20,0)+'3. Assumptions and Drivers'!$G$19</f>
        <v>2</v>
      </c>
      <c r="F14" s="75">
        <f>ROUNDDOWN(SUM(F6:F7)/'3. Assumptions and Drivers'!$G$20,0)+'3. Assumptions and Drivers'!$G$19</f>
        <v>2</v>
      </c>
      <c r="G14" s="75">
        <f>ROUNDDOWN(SUM(G6:G7)/'3. Assumptions and Drivers'!$G$20,0)+'3. Assumptions and Drivers'!$G$19</f>
        <v>2</v>
      </c>
      <c r="H14" s="75">
        <f>ROUNDDOWN(SUM(H6:H7)/'3. Assumptions and Drivers'!$G$20,0)+'3. Assumptions and Drivers'!$G$19</f>
        <v>2</v>
      </c>
      <c r="I14" s="75">
        <f>ROUNDDOWN(SUM(I6:I7)/'3. Assumptions and Drivers'!$G$20,0)+'3. Assumptions and Drivers'!$G$19</f>
        <v>2</v>
      </c>
      <c r="J14" s="75">
        <f>ROUNDDOWN(SUM(J6:J7)/'3. Assumptions and Drivers'!$G$20,0)+'3. Assumptions and Drivers'!$G$19</f>
        <v>3</v>
      </c>
      <c r="K14" s="75">
        <f>ROUNDDOWN(SUM(K6:K7)/'3. Assumptions and Drivers'!$G$20,0)+'3. Assumptions and Drivers'!$G$19</f>
        <v>3</v>
      </c>
      <c r="L14" s="75">
        <f>ROUNDDOWN(SUM(L6:L7)/'3. Assumptions and Drivers'!$G$20,0)+'3. Assumptions and Drivers'!$G$19</f>
        <v>3</v>
      </c>
      <c r="M14" s="75">
        <f>ROUNDDOWN(SUM(M6:M7)/'3. Assumptions and Drivers'!$G$20,0)+'3. Assumptions and Drivers'!$G$19</f>
        <v>3</v>
      </c>
      <c r="N14" s="75">
        <f>ROUNDDOWN(SUM(N6:N7)/'3. Assumptions and Drivers'!$G$20,0)+'3. Assumptions and Drivers'!$G$19</f>
        <v>3</v>
      </c>
      <c r="O14" s="75">
        <f>ROUNDDOWN(SUM(O6:O7)/'3. Assumptions and Drivers'!$G$20,0)+'3. Assumptions and Drivers'!$G$19</f>
        <v>3</v>
      </c>
      <c r="P14" s="75">
        <f t="shared" si="2"/>
        <v>3</v>
      </c>
    </row>
    <row r="15" ht="15.75" customHeight="1">
      <c r="A15" s="72" t="s">
        <v>322</v>
      </c>
      <c r="B15" s="72" t="s">
        <v>138</v>
      </c>
      <c r="C15" s="173">
        <f t="shared" ref="C15:P15" si="3">SUM(C3:C14)</f>
        <v>17</v>
      </c>
      <c r="D15" s="173">
        <f t="shared" si="3"/>
        <v>17</v>
      </c>
      <c r="E15" s="173">
        <f t="shared" si="3"/>
        <v>21</v>
      </c>
      <c r="F15" s="173">
        <f t="shared" si="3"/>
        <v>21</v>
      </c>
      <c r="G15" s="173">
        <f t="shared" si="3"/>
        <v>21</v>
      </c>
      <c r="H15" s="173">
        <f t="shared" si="3"/>
        <v>21</v>
      </c>
      <c r="I15" s="173">
        <f t="shared" si="3"/>
        <v>21</v>
      </c>
      <c r="J15" s="173">
        <f t="shared" si="3"/>
        <v>24</v>
      </c>
      <c r="K15" s="173">
        <f t="shared" si="3"/>
        <v>24</v>
      </c>
      <c r="L15" s="173">
        <f t="shared" si="3"/>
        <v>24</v>
      </c>
      <c r="M15" s="173">
        <f t="shared" si="3"/>
        <v>24</v>
      </c>
      <c r="N15" s="173">
        <f t="shared" si="3"/>
        <v>24</v>
      </c>
      <c r="O15" s="173">
        <f t="shared" si="3"/>
        <v>24</v>
      </c>
      <c r="P15" s="173">
        <f t="shared" si="3"/>
        <v>24</v>
      </c>
    </row>
    <row r="16" ht="15.75" customHeight="1">
      <c r="A16" s="3"/>
      <c r="B16" s="3"/>
      <c r="C16" s="144"/>
      <c r="D16" s="144"/>
      <c r="E16" s="144"/>
      <c r="F16" s="144"/>
      <c r="G16" s="75"/>
      <c r="H16" s="75"/>
      <c r="I16" s="75"/>
      <c r="J16" s="75"/>
      <c r="K16" s="75"/>
    </row>
    <row r="17" ht="15.75" customHeight="1">
      <c r="A17" s="121" t="s">
        <v>323</v>
      </c>
      <c r="B17" s="3"/>
      <c r="C17" s="3"/>
      <c r="D17" s="72"/>
      <c r="E17" s="3"/>
      <c r="F17" s="3"/>
    </row>
    <row r="18" ht="15.75" customHeight="1">
      <c r="A18" s="121" t="s">
        <v>324</v>
      </c>
      <c r="B18" s="3"/>
      <c r="C18" s="3"/>
      <c r="D18" s="3"/>
      <c r="E18" s="3"/>
      <c r="F18" s="3"/>
    </row>
    <row r="19" ht="15.75" customHeight="1">
      <c r="A19" s="174" t="s">
        <v>325</v>
      </c>
      <c r="B19" s="72" t="s">
        <v>99</v>
      </c>
      <c r="C19" s="77"/>
      <c r="D19" s="77">
        <f>D6*('3. Assumptions and Drivers'!$C$24/12)</f>
        <v>5416.666667</v>
      </c>
      <c r="E19" s="77">
        <f>E6*('3. Assumptions and Drivers'!$C$24/12)</f>
        <v>5416.666667</v>
      </c>
      <c r="F19" s="77">
        <f>F6*('3. Assumptions and Drivers'!$C$24/12)</f>
        <v>5416.666667</v>
      </c>
      <c r="G19" s="77">
        <f>G6*('3. Assumptions and Drivers'!$C$24/12)</f>
        <v>5416.666667</v>
      </c>
      <c r="H19" s="77">
        <f>H6*('3. Assumptions and Drivers'!$C$24/12)</f>
        <v>5416.666667</v>
      </c>
      <c r="I19" s="77">
        <f>I6*('3. Assumptions and Drivers'!$C$24/12)</f>
        <v>5416.666667</v>
      </c>
      <c r="J19" s="77">
        <f>J6*('3. Assumptions and Drivers'!$C$24/12)</f>
        <v>5416.666667</v>
      </c>
      <c r="K19" s="77">
        <f>K6*('3. Assumptions and Drivers'!$C$24/12)</f>
        <v>5416.666667</v>
      </c>
      <c r="L19" s="77">
        <f>L6*('3. Assumptions and Drivers'!$C$24/12)</f>
        <v>5416.666667</v>
      </c>
      <c r="M19" s="77">
        <f>M6*('3. Assumptions and Drivers'!$C$24/12)</f>
        <v>5416.666667</v>
      </c>
      <c r="N19" s="77">
        <f>N6*('3. Assumptions and Drivers'!$C$24/12)</f>
        <v>5416.666667</v>
      </c>
      <c r="O19" s="77">
        <f>O6*('3. Assumptions and Drivers'!$C$24/12)</f>
        <v>5416.666667</v>
      </c>
      <c r="P19" s="77">
        <f t="shared" ref="P19:P26" si="4">SUM(D19:O19)</f>
        <v>65000</v>
      </c>
    </row>
    <row r="20" ht="15.75" customHeight="1">
      <c r="A20" s="174" t="s">
        <v>198</v>
      </c>
      <c r="B20" s="72" t="s">
        <v>99</v>
      </c>
      <c r="C20" s="77"/>
      <c r="D20" s="77">
        <f>(D19*('3. Assumptions and Drivers'!$C$25))</f>
        <v>541.6666667</v>
      </c>
      <c r="E20" s="77">
        <f>(E19*('3. Assumptions and Drivers'!$C$25))</f>
        <v>541.6666667</v>
      </c>
      <c r="F20" s="77">
        <f>(F19*('3. Assumptions and Drivers'!$C$25))</f>
        <v>541.6666667</v>
      </c>
      <c r="G20" s="77">
        <f>(G19*('3. Assumptions and Drivers'!$C$25))</f>
        <v>541.6666667</v>
      </c>
      <c r="H20" s="77">
        <f>(H19*('3. Assumptions and Drivers'!$C$25))</f>
        <v>541.6666667</v>
      </c>
      <c r="I20" s="77">
        <f>(I19*('3. Assumptions and Drivers'!$C$25))</f>
        <v>541.6666667</v>
      </c>
      <c r="J20" s="77">
        <f>(J19*('3. Assumptions and Drivers'!$C$25))</f>
        <v>541.6666667</v>
      </c>
      <c r="K20" s="77">
        <f>(K19*('3. Assumptions and Drivers'!$C$25))</f>
        <v>541.6666667</v>
      </c>
      <c r="L20" s="77">
        <f>(L19*('3. Assumptions and Drivers'!$C$25))</f>
        <v>541.6666667</v>
      </c>
      <c r="M20" s="77">
        <f>(M19*('3. Assumptions and Drivers'!$C$25))</f>
        <v>541.6666667</v>
      </c>
      <c r="N20" s="77">
        <f>(N19*('3. Assumptions and Drivers'!$C$25))</f>
        <v>541.6666667</v>
      </c>
      <c r="O20" s="77">
        <f>(O19*('3. Assumptions and Drivers'!$C$25))</f>
        <v>541.6666667</v>
      </c>
      <c r="P20" s="77">
        <f t="shared" si="4"/>
        <v>6500</v>
      </c>
    </row>
    <row r="21" ht="15.75" customHeight="1">
      <c r="A21" s="174" t="s">
        <v>326</v>
      </c>
      <c r="B21" s="72" t="s">
        <v>99</v>
      </c>
      <c r="C21" s="77"/>
      <c r="D21" s="77">
        <f>(D7*'3. Assumptions and Drivers'!$C$27)/12</f>
        <v>9166.666667</v>
      </c>
      <c r="E21" s="77">
        <f>(E7*'3. Assumptions and Drivers'!$C$27)/12</f>
        <v>13750</v>
      </c>
      <c r="F21" s="77">
        <f>(F7*'3. Assumptions and Drivers'!$C$27)/12</f>
        <v>13750</v>
      </c>
      <c r="G21" s="77">
        <f>(G7*'3. Assumptions and Drivers'!$C$27)/12</f>
        <v>13750</v>
      </c>
      <c r="H21" s="77">
        <f>(H7*'3. Assumptions and Drivers'!$C$27)/12</f>
        <v>13750</v>
      </c>
      <c r="I21" s="77">
        <f>(I7*'3. Assumptions and Drivers'!$C$27)/12</f>
        <v>13750</v>
      </c>
      <c r="J21" s="77">
        <f>(J7*'3. Assumptions and Drivers'!$C$27)/12</f>
        <v>18333.33333</v>
      </c>
      <c r="K21" s="77">
        <f>(K7*'3. Assumptions and Drivers'!$C$27)/12</f>
        <v>18333.33333</v>
      </c>
      <c r="L21" s="77">
        <f>(L7*'3. Assumptions and Drivers'!$C$27)/12</f>
        <v>18333.33333</v>
      </c>
      <c r="M21" s="77">
        <f>(M7*'3. Assumptions and Drivers'!$C$27)/12</f>
        <v>18333.33333</v>
      </c>
      <c r="N21" s="77">
        <f>(N7*'3. Assumptions and Drivers'!$C$27)/12</f>
        <v>18333.33333</v>
      </c>
      <c r="O21" s="77">
        <f>(O7*'3. Assumptions and Drivers'!$C$27)/12</f>
        <v>18333.33333</v>
      </c>
      <c r="P21" s="77">
        <f t="shared" si="4"/>
        <v>187916.6667</v>
      </c>
    </row>
    <row r="22" ht="15.75" customHeight="1">
      <c r="A22" s="174" t="s">
        <v>204</v>
      </c>
      <c r="B22" s="72" t="s">
        <v>99</v>
      </c>
      <c r="C22" s="77"/>
      <c r="D22" s="77">
        <f>D21*'3. Assumptions and Drivers'!$C$28</f>
        <v>916.6666667</v>
      </c>
      <c r="E22" s="77">
        <f>E21*'3. Assumptions and Drivers'!$C$28</f>
        <v>1375</v>
      </c>
      <c r="F22" s="77">
        <f>F21*'3. Assumptions and Drivers'!$C$28</f>
        <v>1375</v>
      </c>
      <c r="G22" s="77">
        <f>G21*'3. Assumptions and Drivers'!$C$28</f>
        <v>1375</v>
      </c>
      <c r="H22" s="77">
        <f>H21*'3. Assumptions and Drivers'!$C$28</f>
        <v>1375</v>
      </c>
      <c r="I22" s="77">
        <f>I21*'3. Assumptions and Drivers'!$C$28</f>
        <v>1375</v>
      </c>
      <c r="J22" s="77">
        <f>J21*'3. Assumptions and Drivers'!$C$28</f>
        <v>1833.333333</v>
      </c>
      <c r="K22" s="77">
        <f>K21*'3. Assumptions and Drivers'!$C$28</f>
        <v>1833.333333</v>
      </c>
      <c r="L22" s="77">
        <f>L21*'3. Assumptions and Drivers'!$C$28</f>
        <v>1833.333333</v>
      </c>
      <c r="M22" s="77">
        <f>M21*'3. Assumptions and Drivers'!$C$28</f>
        <v>1833.333333</v>
      </c>
      <c r="N22" s="77">
        <f>N21*'3. Assumptions and Drivers'!$C$28</f>
        <v>1833.333333</v>
      </c>
      <c r="O22" s="77">
        <f>O21*'3. Assumptions and Drivers'!$C$28</f>
        <v>1833.333333</v>
      </c>
      <c r="P22" s="77">
        <f t="shared" si="4"/>
        <v>18791.66667</v>
      </c>
    </row>
    <row r="23" ht="15.75" customHeight="1">
      <c r="A23" s="174" t="s">
        <v>327</v>
      </c>
      <c r="B23" s="72" t="s">
        <v>99</v>
      </c>
      <c r="C23" s="77"/>
      <c r="D23" s="77">
        <f>(D8*'3. Assumptions and Drivers'!$C$36)/12</f>
        <v>7500</v>
      </c>
      <c r="E23" s="77">
        <f>(E8*'3. Assumptions and Drivers'!$C$36)/12</f>
        <v>11250</v>
      </c>
      <c r="F23" s="77">
        <f>(F8*'3. Assumptions and Drivers'!$C$36)/12</f>
        <v>11250</v>
      </c>
      <c r="G23" s="77">
        <f>(G8*'3. Assumptions and Drivers'!$C$36)/12</f>
        <v>11250</v>
      </c>
      <c r="H23" s="77">
        <f>(H8*'3. Assumptions and Drivers'!$C$36)/12</f>
        <v>11250</v>
      </c>
      <c r="I23" s="77">
        <f>(I8*'3. Assumptions and Drivers'!$C$36)/12</f>
        <v>11250</v>
      </c>
      <c r="J23" s="77">
        <f>(J8*'3. Assumptions and Drivers'!$C$36)/12</f>
        <v>15000</v>
      </c>
      <c r="K23" s="77">
        <f>(K8*'3. Assumptions and Drivers'!$C$36)/12</f>
        <v>15000</v>
      </c>
      <c r="L23" s="77">
        <f>(L8*'3. Assumptions and Drivers'!$C$36)/12</f>
        <v>15000</v>
      </c>
      <c r="M23" s="77">
        <f>(M8*'3. Assumptions and Drivers'!$C$36)/12</f>
        <v>15000</v>
      </c>
      <c r="N23" s="77">
        <f>(N8*'3. Assumptions and Drivers'!$C$36)/12</f>
        <v>15000</v>
      </c>
      <c r="O23" s="77">
        <f>(O8*'3. Assumptions and Drivers'!$C$36)/12</f>
        <v>15000</v>
      </c>
      <c r="P23" s="77">
        <f t="shared" si="4"/>
        <v>153750</v>
      </c>
    </row>
    <row r="24" ht="15.75" customHeight="1">
      <c r="A24" s="174" t="s">
        <v>328</v>
      </c>
      <c r="B24" s="72" t="s">
        <v>99</v>
      </c>
      <c r="C24" s="77"/>
      <c r="D24" s="77">
        <f>D23*'3. Assumptions and Drivers'!$C$37</f>
        <v>750</v>
      </c>
      <c r="E24" s="77">
        <f>E23*'3. Assumptions and Drivers'!$C$37</f>
        <v>1125</v>
      </c>
      <c r="F24" s="77">
        <f>F23*'3. Assumptions and Drivers'!$C$37</f>
        <v>1125</v>
      </c>
      <c r="G24" s="77">
        <f>G23*'3. Assumptions and Drivers'!$C$37</f>
        <v>1125</v>
      </c>
      <c r="H24" s="77">
        <f>H23*'3. Assumptions and Drivers'!$C$37</f>
        <v>1125</v>
      </c>
      <c r="I24" s="77">
        <f>I23*'3. Assumptions and Drivers'!$C$37</f>
        <v>1125</v>
      </c>
      <c r="J24" s="77">
        <f>J23*'3. Assumptions and Drivers'!$C$37</f>
        <v>1500</v>
      </c>
      <c r="K24" s="77">
        <f>K23*'3. Assumptions and Drivers'!$C$37</f>
        <v>1500</v>
      </c>
      <c r="L24" s="77">
        <f>L23*'3. Assumptions and Drivers'!$C$37</f>
        <v>1500</v>
      </c>
      <c r="M24" s="77">
        <f>M23*'3. Assumptions and Drivers'!$C$37</f>
        <v>1500</v>
      </c>
      <c r="N24" s="77">
        <f>N23*'3. Assumptions and Drivers'!$C$37</f>
        <v>1500</v>
      </c>
      <c r="O24" s="77">
        <f>O23*'3. Assumptions and Drivers'!$C$37</f>
        <v>1500</v>
      </c>
      <c r="P24" s="77">
        <f t="shared" si="4"/>
        <v>15375</v>
      </c>
    </row>
    <row r="25" ht="15.75" customHeight="1">
      <c r="A25" s="174" t="s">
        <v>329</v>
      </c>
      <c r="B25" s="72" t="s">
        <v>99</v>
      </c>
      <c r="C25" s="77"/>
      <c r="D25" s="77">
        <f>(D14*'3. Assumptions and Drivers'!$C$42*'3. Assumptions and Drivers'!$C$43)</f>
        <v>6250</v>
      </c>
      <c r="E25" s="77">
        <f>(E14*'3. Assumptions and Drivers'!$C$42*'3. Assumptions and Drivers'!$C$43)</f>
        <v>6250</v>
      </c>
      <c r="F25" s="77">
        <f>(F14*'3. Assumptions and Drivers'!$C$42*'3. Assumptions and Drivers'!$C$43)</f>
        <v>6250</v>
      </c>
      <c r="G25" s="77">
        <f>(G14*'3. Assumptions and Drivers'!$C$42*'3. Assumptions and Drivers'!$C$43)</f>
        <v>6250</v>
      </c>
      <c r="H25" s="77">
        <f>(H14*'3. Assumptions and Drivers'!$C$42*'3. Assumptions and Drivers'!$C$43)</f>
        <v>6250</v>
      </c>
      <c r="I25" s="77">
        <f>(I14*'3. Assumptions and Drivers'!$C$42*'3. Assumptions and Drivers'!$C$43)</f>
        <v>6250</v>
      </c>
      <c r="J25" s="77">
        <f>(J14*'3. Assumptions and Drivers'!$C$42*'3. Assumptions and Drivers'!$C$43)</f>
        <v>9375</v>
      </c>
      <c r="K25" s="77">
        <f>(K14*'3. Assumptions and Drivers'!$C$42*'3. Assumptions and Drivers'!$C$43)</f>
        <v>9375</v>
      </c>
      <c r="L25" s="77">
        <f>(L14*'3. Assumptions and Drivers'!$C$42*'3. Assumptions and Drivers'!$C$43)</f>
        <v>9375</v>
      </c>
      <c r="M25" s="77">
        <f>(M14*'3. Assumptions and Drivers'!$C$42*'3. Assumptions and Drivers'!$C$43)</f>
        <v>9375</v>
      </c>
      <c r="N25" s="77">
        <f>(N14*'3. Assumptions and Drivers'!$C$42*'3. Assumptions and Drivers'!$C$43)</f>
        <v>9375</v>
      </c>
      <c r="O25" s="77">
        <f>(O14*'3. Assumptions and Drivers'!$C$42*'3. Assumptions and Drivers'!$C$43)</f>
        <v>9375</v>
      </c>
      <c r="P25" s="77">
        <f t="shared" si="4"/>
        <v>93750</v>
      </c>
    </row>
    <row r="26" ht="15.75" customHeight="1">
      <c r="A26" s="72" t="s">
        <v>330</v>
      </c>
      <c r="B26" s="72" t="s">
        <v>99</v>
      </c>
      <c r="C26" s="77"/>
      <c r="D26" s="175">
        <f t="shared" ref="D26:O26" si="5">SUM(D19:D25)</f>
        <v>30541.66667</v>
      </c>
      <c r="E26" s="175">
        <f t="shared" si="5"/>
        <v>39708.33333</v>
      </c>
      <c r="F26" s="175">
        <f t="shared" si="5"/>
        <v>39708.33333</v>
      </c>
      <c r="G26" s="175">
        <f t="shared" si="5"/>
        <v>39708.33333</v>
      </c>
      <c r="H26" s="175">
        <f t="shared" si="5"/>
        <v>39708.33333</v>
      </c>
      <c r="I26" s="175">
        <f t="shared" si="5"/>
        <v>39708.33333</v>
      </c>
      <c r="J26" s="175">
        <f t="shared" si="5"/>
        <v>52000</v>
      </c>
      <c r="K26" s="175">
        <f t="shared" si="5"/>
        <v>52000</v>
      </c>
      <c r="L26" s="175">
        <f t="shared" si="5"/>
        <v>52000</v>
      </c>
      <c r="M26" s="175">
        <f t="shared" si="5"/>
        <v>52000</v>
      </c>
      <c r="N26" s="175">
        <f t="shared" si="5"/>
        <v>52000</v>
      </c>
      <c r="O26" s="175">
        <f t="shared" si="5"/>
        <v>52000</v>
      </c>
      <c r="P26" s="175">
        <f t="shared" si="4"/>
        <v>541083.3333</v>
      </c>
    </row>
    <row r="27" ht="15.75" customHeight="1">
      <c r="A27" s="3"/>
      <c r="B27" s="3"/>
      <c r="C27" s="115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</row>
    <row r="28" ht="15.75" customHeight="1">
      <c r="A28" s="121" t="s">
        <v>331</v>
      </c>
      <c r="B28" s="3"/>
      <c r="C28" s="115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</row>
    <row r="29" ht="15.75" customHeight="1">
      <c r="A29" s="72" t="s">
        <v>332</v>
      </c>
      <c r="B29" s="72" t="s">
        <v>99</v>
      </c>
      <c r="C29" s="115"/>
      <c r="D29" s="77">
        <f>(D3*'3. Assumptions and Drivers'!$C$15)/12</f>
        <v>9166.666667</v>
      </c>
      <c r="E29" s="77">
        <f>(E3*'3. Assumptions and Drivers'!$C$15)/12</f>
        <v>9166.666667</v>
      </c>
      <c r="F29" s="77">
        <f>(F3*'3. Assumptions and Drivers'!$C$15)/12</f>
        <v>9166.666667</v>
      </c>
      <c r="G29" s="77">
        <f>(G3*'3. Assumptions and Drivers'!$C$15)/12</f>
        <v>9166.666667</v>
      </c>
      <c r="H29" s="77">
        <f>(H3*'3. Assumptions and Drivers'!$C$15)/12</f>
        <v>9166.666667</v>
      </c>
      <c r="I29" s="77">
        <f>(I3*'3. Assumptions and Drivers'!$C$15)/12</f>
        <v>9166.666667</v>
      </c>
      <c r="J29" s="77">
        <f>(J3*'3. Assumptions and Drivers'!$C$15)/12</f>
        <v>9166.666667</v>
      </c>
      <c r="K29" s="77">
        <f>(K3*'3. Assumptions and Drivers'!$C$15)/12</f>
        <v>9166.666667</v>
      </c>
      <c r="L29" s="77">
        <f>(L3*'3. Assumptions and Drivers'!$C$15)/12</f>
        <v>9166.666667</v>
      </c>
      <c r="M29" s="77">
        <f>(M3*'3. Assumptions and Drivers'!$C$15)/12</f>
        <v>9166.666667</v>
      </c>
      <c r="N29" s="77">
        <f>(N3*'3. Assumptions and Drivers'!$C$15)/12</f>
        <v>9166.666667</v>
      </c>
      <c r="O29" s="77">
        <f>(O3*'3. Assumptions and Drivers'!$C$15)/12</f>
        <v>9166.666667</v>
      </c>
      <c r="P29" s="77">
        <f t="shared" ref="P29:P42" si="6">SUM(D29:O29)</f>
        <v>110000</v>
      </c>
    </row>
    <row r="30" ht="15.75" customHeight="1">
      <c r="A30" s="72" t="s">
        <v>172</v>
      </c>
      <c r="B30" s="72" t="s">
        <v>99</v>
      </c>
      <c r="C30" s="115"/>
      <c r="D30" s="77">
        <f>D29*'3. Assumptions and Drivers'!$C$16</f>
        <v>1833.333333</v>
      </c>
      <c r="E30" s="77">
        <f>E29*'3. Assumptions and Drivers'!$C$16</f>
        <v>1833.333333</v>
      </c>
      <c r="F30" s="77">
        <f>F29*'3. Assumptions and Drivers'!$C$16</f>
        <v>1833.333333</v>
      </c>
      <c r="G30" s="77">
        <f>G29*'3. Assumptions and Drivers'!$C$16</f>
        <v>1833.333333</v>
      </c>
      <c r="H30" s="77">
        <f>H29*'3. Assumptions and Drivers'!$C$16</f>
        <v>1833.333333</v>
      </c>
      <c r="I30" s="77">
        <f>I29*'3. Assumptions and Drivers'!$C$16</f>
        <v>1833.333333</v>
      </c>
      <c r="J30" s="77">
        <f>J29*'3. Assumptions and Drivers'!$C$16</f>
        <v>1833.333333</v>
      </c>
      <c r="K30" s="77">
        <f>K29*'3. Assumptions and Drivers'!$C$16</f>
        <v>1833.333333</v>
      </c>
      <c r="L30" s="77">
        <f>L29*'3. Assumptions and Drivers'!$C$16</f>
        <v>1833.333333</v>
      </c>
      <c r="M30" s="77">
        <f>M29*'3. Assumptions and Drivers'!$C$16</f>
        <v>1833.333333</v>
      </c>
      <c r="N30" s="77">
        <f>N29*'3. Assumptions and Drivers'!$C$16</f>
        <v>1833.333333</v>
      </c>
      <c r="O30" s="77">
        <f>O29*'3. Assumptions and Drivers'!$C$16</f>
        <v>1833.333333</v>
      </c>
      <c r="P30" s="77">
        <f t="shared" si="6"/>
        <v>22000</v>
      </c>
    </row>
    <row r="31" ht="15.75" customHeight="1">
      <c r="A31" s="72" t="s">
        <v>333</v>
      </c>
      <c r="B31" s="72" t="s">
        <v>99</v>
      </c>
      <c r="C31" s="115"/>
      <c r="D31" s="77">
        <f>(D4*'3. Assumptions and Drivers'!$C$18)/12</f>
        <v>7500</v>
      </c>
      <c r="E31" s="77">
        <f>(E4*'3. Assumptions and Drivers'!$C$18)/12</f>
        <v>7500</v>
      </c>
      <c r="F31" s="77">
        <f>(F4*'3. Assumptions and Drivers'!$C$18)/12</f>
        <v>7500</v>
      </c>
      <c r="G31" s="77">
        <f>(G4*'3. Assumptions and Drivers'!$C$18)/12</f>
        <v>7500</v>
      </c>
      <c r="H31" s="77">
        <f>(H4*'3. Assumptions and Drivers'!$C$18)/12</f>
        <v>7500</v>
      </c>
      <c r="I31" s="77">
        <f>(I4*'3. Assumptions and Drivers'!$C$18)/12</f>
        <v>7500</v>
      </c>
      <c r="J31" s="77">
        <f>(J4*'3. Assumptions and Drivers'!$C$18)/12</f>
        <v>7500</v>
      </c>
      <c r="K31" s="77">
        <f>(K4*'3. Assumptions and Drivers'!$C$18)/12</f>
        <v>7500</v>
      </c>
      <c r="L31" s="77">
        <f>(L4*'3. Assumptions and Drivers'!$C$18)/12</f>
        <v>7500</v>
      </c>
      <c r="M31" s="77">
        <f>(M4*'3. Assumptions and Drivers'!$C$18)/12</f>
        <v>7500</v>
      </c>
      <c r="N31" s="77">
        <f>(N4*'3. Assumptions and Drivers'!$C$18)/12</f>
        <v>7500</v>
      </c>
      <c r="O31" s="77">
        <f>(O4*'3. Assumptions and Drivers'!$C$18)/12</f>
        <v>7500</v>
      </c>
      <c r="P31" s="77">
        <f t="shared" si="6"/>
        <v>90000</v>
      </c>
    </row>
    <row r="32" ht="15.75" customHeight="1">
      <c r="A32" s="72" t="s">
        <v>181</v>
      </c>
      <c r="B32" s="72" t="s">
        <v>99</v>
      </c>
      <c r="C32" s="115"/>
      <c r="D32" s="77">
        <f>D31*'3. Assumptions and Drivers'!$C$19</f>
        <v>1500</v>
      </c>
      <c r="E32" s="77">
        <f>E31*'3. Assumptions and Drivers'!$C$19</f>
        <v>1500</v>
      </c>
      <c r="F32" s="77">
        <f>F31*'3. Assumptions and Drivers'!$C$19</f>
        <v>1500</v>
      </c>
      <c r="G32" s="77">
        <f>G31*'3. Assumptions and Drivers'!$C$19</f>
        <v>1500</v>
      </c>
      <c r="H32" s="77">
        <f>H31*'3. Assumptions and Drivers'!$C$19</f>
        <v>1500</v>
      </c>
      <c r="I32" s="77">
        <f>I31*'3. Assumptions and Drivers'!$C$19</f>
        <v>1500</v>
      </c>
      <c r="J32" s="77">
        <f>J31*'3. Assumptions and Drivers'!$C$19</f>
        <v>1500</v>
      </c>
      <c r="K32" s="77">
        <f>K31*'3. Assumptions and Drivers'!$C$19</f>
        <v>1500</v>
      </c>
      <c r="L32" s="77">
        <f>L31*'3. Assumptions and Drivers'!$C$19</f>
        <v>1500</v>
      </c>
      <c r="M32" s="77">
        <f>M31*'3. Assumptions and Drivers'!$C$19</f>
        <v>1500</v>
      </c>
      <c r="N32" s="77">
        <f>N31*'3. Assumptions and Drivers'!$C$19</f>
        <v>1500</v>
      </c>
      <c r="O32" s="77">
        <f>O31*'3. Assumptions and Drivers'!$C$19</f>
        <v>1500</v>
      </c>
      <c r="P32" s="77">
        <f t="shared" si="6"/>
        <v>18000</v>
      </c>
    </row>
    <row r="33" ht="15.75" customHeight="1">
      <c r="A33" s="72" t="s">
        <v>186</v>
      </c>
      <c r="B33" s="72" t="s">
        <v>99</v>
      </c>
      <c r="C33" s="115"/>
      <c r="D33" s="77">
        <f>(D5*'3. Assumptions and Drivers'!$C$21)/12</f>
        <v>7083.333333</v>
      </c>
      <c r="E33" s="77">
        <f>(E5*'3. Assumptions and Drivers'!$C$21)/12</f>
        <v>7083.333333</v>
      </c>
      <c r="F33" s="77">
        <f>(F5*'3. Assumptions and Drivers'!$C$21)/12</f>
        <v>7083.333333</v>
      </c>
      <c r="G33" s="77">
        <f>(G5*'3. Assumptions and Drivers'!$C$21)/12</f>
        <v>7083.333333</v>
      </c>
      <c r="H33" s="77">
        <f>(H5*'3. Assumptions and Drivers'!$C$21)/12</f>
        <v>7083.333333</v>
      </c>
      <c r="I33" s="77">
        <f>(I5*'3. Assumptions and Drivers'!$C$21)/12</f>
        <v>7083.333333</v>
      </c>
      <c r="J33" s="77">
        <f>(J5*'3. Assumptions and Drivers'!$C$21)/12</f>
        <v>7083.333333</v>
      </c>
      <c r="K33" s="77">
        <f>(K5*'3. Assumptions and Drivers'!$C$21)/12</f>
        <v>7083.333333</v>
      </c>
      <c r="L33" s="77">
        <f>(L5*'3. Assumptions and Drivers'!$C$21)/12</f>
        <v>7083.333333</v>
      </c>
      <c r="M33" s="77">
        <f>(M5*'3. Assumptions and Drivers'!$C$21)/12</f>
        <v>7083.333333</v>
      </c>
      <c r="N33" s="77">
        <f>(N5*'3. Assumptions and Drivers'!$C$21)/12</f>
        <v>7083.333333</v>
      </c>
      <c r="O33" s="77">
        <f>(O5*'3. Assumptions and Drivers'!$C$21)/12</f>
        <v>7083.333333</v>
      </c>
      <c r="P33" s="77">
        <f t="shared" si="6"/>
        <v>85000</v>
      </c>
    </row>
    <row r="34" ht="15.75" customHeight="1">
      <c r="A34" s="72" t="s">
        <v>189</v>
      </c>
      <c r="B34" s="72" t="s">
        <v>99</v>
      </c>
      <c r="C34" s="115"/>
      <c r="D34" s="77">
        <f>D33*'3. Assumptions and Drivers'!$C$22</f>
        <v>1416.666667</v>
      </c>
      <c r="E34" s="77">
        <f>E33*'3. Assumptions and Drivers'!$C$22</f>
        <v>1416.666667</v>
      </c>
      <c r="F34" s="77">
        <f>F33*'3. Assumptions and Drivers'!$C$22</f>
        <v>1416.666667</v>
      </c>
      <c r="G34" s="77">
        <f>G33*'3. Assumptions and Drivers'!$C$22</f>
        <v>1416.666667</v>
      </c>
      <c r="H34" s="77">
        <f>H33*'3. Assumptions and Drivers'!$C$22</f>
        <v>1416.666667</v>
      </c>
      <c r="I34" s="77">
        <f>I33*'3. Assumptions and Drivers'!$C$22</f>
        <v>1416.666667</v>
      </c>
      <c r="J34" s="77">
        <f>J33*'3. Assumptions and Drivers'!$C$22</f>
        <v>1416.666667</v>
      </c>
      <c r="K34" s="77">
        <f>K33*'3. Assumptions and Drivers'!$C$22</f>
        <v>1416.666667</v>
      </c>
      <c r="L34" s="77">
        <f>L33*'3. Assumptions and Drivers'!$C$22</f>
        <v>1416.666667</v>
      </c>
      <c r="M34" s="77">
        <f>M33*'3. Assumptions and Drivers'!$C$22</f>
        <v>1416.666667</v>
      </c>
      <c r="N34" s="77">
        <f>N33*'3. Assumptions and Drivers'!$C$22</f>
        <v>1416.666667</v>
      </c>
      <c r="O34" s="77">
        <f>O33*'3. Assumptions and Drivers'!$C$22</f>
        <v>1416.666667</v>
      </c>
      <c r="P34" s="77">
        <f t="shared" si="6"/>
        <v>17000</v>
      </c>
    </row>
    <row r="35" ht="15.75" customHeight="1">
      <c r="A35" s="72" t="s">
        <v>334</v>
      </c>
      <c r="B35" s="72" t="s">
        <v>99</v>
      </c>
      <c r="C35" s="115"/>
      <c r="D35" s="77">
        <f>(D9*'3. Assumptions and Drivers'!$C$30)/12</f>
        <v>4583.333333</v>
      </c>
      <c r="E35" s="77">
        <f>(E9*'3. Assumptions and Drivers'!$C$30)/12</f>
        <v>9166.666667</v>
      </c>
      <c r="F35" s="77">
        <f>(F9*'3. Assumptions and Drivers'!$C$30)/12</f>
        <v>9166.666667</v>
      </c>
      <c r="G35" s="77">
        <f>(G9*'3. Assumptions and Drivers'!$C$30)/12</f>
        <v>9166.666667</v>
      </c>
      <c r="H35" s="77">
        <f>(H9*'3. Assumptions and Drivers'!$C$30)/12</f>
        <v>9166.666667</v>
      </c>
      <c r="I35" s="77">
        <f>(I9*'3. Assumptions and Drivers'!$C$30)/12</f>
        <v>9166.666667</v>
      </c>
      <c r="J35" s="77">
        <f>(J9*'3. Assumptions and Drivers'!$C$30)/12</f>
        <v>9166.666667</v>
      </c>
      <c r="K35" s="77">
        <f>(K9*'3. Assumptions and Drivers'!$C$30)/12</f>
        <v>9166.666667</v>
      </c>
      <c r="L35" s="77">
        <f>(L9*'3. Assumptions and Drivers'!$C$30)/12</f>
        <v>9166.666667</v>
      </c>
      <c r="M35" s="77">
        <f>(M9*'3. Assumptions and Drivers'!$C$30)/12</f>
        <v>9166.666667</v>
      </c>
      <c r="N35" s="77">
        <f>(N9*'3. Assumptions and Drivers'!$C$30)/12</f>
        <v>9166.666667</v>
      </c>
      <c r="O35" s="77">
        <f>(O9*'3. Assumptions and Drivers'!$C$30)/12</f>
        <v>9166.666667</v>
      </c>
      <c r="P35" s="77">
        <f t="shared" si="6"/>
        <v>105416.6667</v>
      </c>
    </row>
    <row r="36" ht="15.75" customHeight="1">
      <c r="A36" s="72" t="s">
        <v>214</v>
      </c>
      <c r="B36" s="72" t="s">
        <v>99</v>
      </c>
      <c r="C36" s="115"/>
      <c r="D36" s="77">
        <f>D35*'3. Assumptions and Drivers'!$C$31</f>
        <v>458.3333333</v>
      </c>
      <c r="E36" s="77">
        <f>E35*'3. Assumptions and Drivers'!$C$31</f>
        <v>916.6666667</v>
      </c>
      <c r="F36" s="77">
        <f>F35*'3. Assumptions and Drivers'!$C$31</f>
        <v>916.6666667</v>
      </c>
      <c r="G36" s="77">
        <f>G35*'3. Assumptions and Drivers'!$C$31</f>
        <v>916.6666667</v>
      </c>
      <c r="H36" s="77">
        <f>H35*'3. Assumptions and Drivers'!$C$31</f>
        <v>916.6666667</v>
      </c>
      <c r="I36" s="77">
        <f>I35*'3. Assumptions and Drivers'!$C$31</f>
        <v>916.6666667</v>
      </c>
      <c r="J36" s="77">
        <f>J35*'3. Assumptions and Drivers'!$C$31</f>
        <v>916.6666667</v>
      </c>
      <c r="K36" s="77">
        <f>K35*'3. Assumptions and Drivers'!$C$31</f>
        <v>916.6666667</v>
      </c>
      <c r="L36" s="77">
        <f>L35*'3. Assumptions and Drivers'!$C$31</f>
        <v>916.6666667</v>
      </c>
      <c r="M36" s="77">
        <f>M35*'3. Assumptions and Drivers'!$C$31</f>
        <v>916.6666667</v>
      </c>
      <c r="N36" s="77">
        <f>N35*'3. Assumptions and Drivers'!$C$31</f>
        <v>916.6666667</v>
      </c>
      <c r="O36" s="77">
        <f>O35*'3. Assumptions and Drivers'!$C$31</f>
        <v>916.6666667</v>
      </c>
      <c r="P36" s="77">
        <f t="shared" si="6"/>
        <v>10541.66667</v>
      </c>
    </row>
    <row r="37" ht="15.75" customHeight="1">
      <c r="A37" s="72" t="s">
        <v>335</v>
      </c>
      <c r="B37" s="72" t="s">
        <v>99</v>
      </c>
      <c r="C37" s="115"/>
      <c r="D37" s="77">
        <f>(D10*'3. Assumptions and Drivers'!$C$33)/12</f>
        <v>7500</v>
      </c>
      <c r="E37" s="77">
        <f>(E10*'3. Assumptions and Drivers'!$C$33)/12</f>
        <v>11250</v>
      </c>
      <c r="F37" s="77">
        <f>(F10*'3. Assumptions and Drivers'!$C$33)/12</f>
        <v>11250</v>
      </c>
      <c r="G37" s="77">
        <f>(G10*'3. Assumptions and Drivers'!$C$33)/12</f>
        <v>11250</v>
      </c>
      <c r="H37" s="77">
        <f>(H10*'3. Assumptions and Drivers'!$C$33)/12</f>
        <v>11250</v>
      </c>
      <c r="I37" s="77">
        <f>(I10*'3. Assumptions and Drivers'!$C$33)/12</f>
        <v>11250</v>
      </c>
      <c r="J37" s="77">
        <f>(J10*'3. Assumptions and Drivers'!$C$33)/12</f>
        <v>11250</v>
      </c>
      <c r="K37" s="77">
        <f>(K10*'3. Assumptions and Drivers'!$C$33)/12</f>
        <v>11250</v>
      </c>
      <c r="L37" s="77">
        <f>(L10*'3. Assumptions and Drivers'!$C$33)/12</f>
        <v>11250</v>
      </c>
      <c r="M37" s="77">
        <f>(M10*'3. Assumptions and Drivers'!$C$33)/12</f>
        <v>11250</v>
      </c>
      <c r="N37" s="77">
        <f>(N10*'3. Assumptions and Drivers'!$C$33)/12</f>
        <v>11250</v>
      </c>
      <c r="O37" s="77">
        <f>(O10*'3. Assumptions and Drivers'!$C$33)/12</f>
        <v>11250</v>
      </c>
      <c r="P37" s="77">
        <f t="shared" si="6"/>
        <v>131250</v>
      </c>
    </row>
    <row r="38" ht="15.75" customHeight="1">
      <c r="A38" s="72" t="s">
        <v>336</v>
      </c>
      <c r="B38" s="72" t="s">
        <v>99</v>
      </c>
      <c r="C38" s="78"/>
      <c r="D38" s="78">
        <f>'3. Assumptions and Drivers'!$C$34*'4. Revenue and Volume '!D4</f>
        <v>2400</v>
      </c>
      <c r="E38" s="78">
        <f>'3. Assumptions and Drivers'!$C$34*'4. Revenue and Volume '!E4</f>
        <v>2400</v>
      </c>
      <c r="F38" s="78">
        <f>'3. Assumptions and Drivers'!$C$34*'4. Revenue and Volume '!F4</f>
        <v>3600</v>
      </c>
      <c r="G38" s="78">
        <f>'3. Assumptions and Drivers'!$C$34*'4. Revenue and Volume '!G4</f>
        <v>3600</v>
      </c>
      <c r="H38" s="78">
        <f>'3. Assumptions and Drivers'!$C$34*'4. Revenue and Volume '!H4</f>
        <v>3600</v>
      </c>
      <c r="I38" s="78">
        <f>'3. Assumptions and Drivers'!$C$34*'4. Revenue and Volume '!I4</f>
        <v>5400</v>
      </c>
      <c r="J38" s="78">
        <f>'3. Assumptions and Drivers'!$C$34*'4. Revenue and Volume '!J4</f>
        <v>5400</v>
      </c>
      <c r="K38" s="78">
        <f>'3. Assumptions and Drivers'!$C$34*'4. Revenue and Volume '!K4</f>
        <v>5400</v>
      </c>
      <c r="L38" s="78">
        <f>'3. Assumptions and Drivers'!$C$34*'4. Revenue and Volume '!L4</f>
        <v>3600</v>
      </c>
      <c r="M38" s="78">
        <f>'3. Assumptions and Drivers'!$C$34*'4. Revenue and Volume '!M4</f>
        <v>3600</v>
      </c>
      <c r="N38" s="78">
        <f>'3. Assumptions and Drivers'!$C$34*'4. Revenue and Volume '!N4</f>
        <v>3600</v>
      </c>
      <c r="O38" s="78">
        <f>'3. Assumptions and Drivers'!$C$34*'4. Revenue and Volume '!O4</f>
        <v>3600</v>
      </c>
      <c r="P38" s="77">
        <f t="shared" si="6"/>
        <v>46200</v>
      </c>
    </row>
    <row r="39" ht="15.75" customHeight="1">
      <c r="A39" s="72" t="s">
        <v>337</v>
      </c>
      <c r="B39" s="72" t="s">
        <v>99</v>
      </c>
      <c r="C39" s="115"/>
      <c r="D39" s="77">
        <f>('3. Assumptions and Drivers'!$C$39*D11)/12</f>
        <v>7500</v>
      </c>
      <c r="E39" s="77">
        <f>('3. Assumptions and Drivers'!$C$39*E11)/12</f>
        <v>7500</v>
      </c>
      <c r="F39" s="77">
        <f>('3. Assumptions and Drivers'!$C$39*F11)/12</f>
        <v>7500</v>
      </c>
      <c r="G39" s="77">
        <f>('3. Assumptions and Drivers'!$C$39*G11)/12</f>
        <v>7500</v>
      </c>
      <c r="H39" s="77">
        <f>('3. Assumptions and Drivers'!$C$39*H11)/12</f>
        <v>7500</v>
      </c>
      <c r="I39" s="77">
        <f>('3. Assumptions and Drivers'!$C$39*I11)/12</f>
        <v>7500</v>
      </c>
      <c r="J39" s="77">
        <f>('3. Assumptions and Drivers'!$C$39*J11)/12</f>
        <v>7500</v>
      </c>
      <c r="K39" s="77">
        <f>('3. Assumptions and Drivers'!$C$39*K11)/12</f>
        <v>7500</v>
      </c>
      <c r="L39" s="77">
        <f>('3. Assumptions and Drivers'!$C$39*L11)/12</f>
        <v>7500</v>
      </c>
      <c r="M39" s="77">
        <f>('3. Assumptions and Drivers'!$C$39*M11)/12</f>
        <v>7500</v>
      </c>
      <c r="N39" s="77">
        <f>('3. Assumptions and Drivers'!$C$39*N11)/12</f>
        <v>7500</v>
      </c>
      <c r="O39" s="77">
        <f>('3. Assumptions and Drivers'!$C$39*O11)/12</f>
        <v>7500</v>
      </c>
      <c r="P39" s="77">
        <f t="shared" si="6"/>
        <v>90000</v>
      </c>
    </row>
    <row r="40" ht="15.75" customHeight="1">
      <c r="A40" s="72" t="s">
        <v>338</v>
      </c>
      <c r="B40" s="72" t="s">
        <v>99</v>
      </c>
      <c r="C40" s="115"/>
      <c r="D40" s="77">
        <f>D39*'3. Assumptions and Drivers'!$C$40</f>
        <v>750</v>
      </c>
      <c r="E40" s="77">
        <f>E39*'3. Assumptions and Drivers'!$C$40</f>
        <v>750</v>
      </c>
      <c r="F40" s="77">
        <f>F39*'3. Assumptions and Drivers'!$C$40</f>
        <v>750</v>
      </c>
      <c r="G40" s="77">
        <f>G39*'3. Assumptions and Drivers'!$C$40</f>
        <v>750</v>
      </c>
      <c r="H40" s="77">
        <f>H39*'3. Assumptions and Drivers'!$C$40</f>
        <v>750</v>
      </c>
      <c r="I40" s="77">
        <f>I39*'3. Assumptions and Drivers'!$C$40</f>
        <v>750</v>
      </c>
      <c r="J40" s="77">
        <f>J39*'3. Assumptions and Drivers'!$C$40</f>
        <v>750</v>
      </c>
      <c r="K40" s="77">
        <f>K39*'3. Assumptions and Drivers'!$C$40</f>
        <v>750</v>
      </c>
      <c r="L40" s="77">
        <f>L39*'3. Assumptions and Drivers'!$C$40</f>
        <v>750</v>
      </c>
      <c r="M40" s="77">
        <f>M39*'3. Assumptions and Drivers'!$C$40</f>
        <v>750</v>
      </c>
      <c r="N40" s="77">
        <f>N39*'3. Assumptions and Drivers'!$C$40</f>
        <v>750</v>
      </c>
      <c r="O40" s="77">
        <f>O39*'3. Assumptions and Drivers'!$C$40</f>
        <v>750</v>
      </c>
      <c r="P40" s="77">
        <f t="shared" si="6"/>
        <v>9000</v>
      </c>
    </row>
    <row r="41" ht="15.75" customHeight="1">
      <c r="A41" s="72" t="s">
        <v>321</v>
      </c>
      <c r="B41" s="72" t="s">
        <v>99</v>
      </c>
      <c r="C41" s="115"/>
      <c r="D41" s="77">
        <f>'3. Assumptions and Drivers'!$C$45/12</f>
        <v>4166.666667</v>
      </c>
      <c r="E41" s="77">
        <f>'3. Assumptions and Drivers'!$C$45/12</f>
        <v>4166.666667</v>
      </c>
      <c r="F41" s="77">
        <f>'3. Assumptions and Drivers'!$C$45/12</f>
        <v>4166.666667</v>
      </c>
      <c r="G41" s="77">
        <f>'3. Assumptions and Drivers'!$C$45/12</f>
        <v>4166.666667</v>
      </c>
      <c r="H41" s="77">
        <f>'3. Assumptions and Drivers'!$C$45/12</f>
        <v>4166.666667</v>
      </c>
      <c r="I41" s="77">
        <f>'3. Assumptions and Drivers'!$C$45/12</f>
        <v>4166.666667</v>
      </c>
      <c r="J41" s="77">
        <f>'3. Assumptions and Drivers'!$C$45/12</f>
        <v>4166.666667</v>
      </c>
      <c r="K41" s="77">
        <f>'3. Assumptions and Drivers'!$C$45/12</f>
        <v>4166.666667</v>
      </c>
      <c r="L41" s="77">
        <f>'3. Assumptions and Drivers'!$C$45/12</f>
        <v>4166.666667</v>
      </c>
      <c r="M41" s="77">
        <f>'3. Assumptions and Drivers'!$C$45/12</f>
        <v>4166.666667</v>
      </c>
      <c r="N41" s="77">
        <f>'3. Assumptions and Drivers'!$C$45/12</f>
        <v>4166.666667</v>
      </c>
      <c r="O41" s="77">
        <f>'3. Assumptions and Drivers'!$C$45/12</f>
        <v>4166.666667</v>
      </c>
      <c r="P41" s="77">
        <f t="shared" si="6"/>
        <v>50000</v>
      </c>
    </row>
    <row r="42" ht="15.75" customHeight="1">
      <c r="A42" s="72" t="s">
        <v>339</v>
      </c>
      <c r="B42" s="72" t="s">
        <v>99</v>
      </c>
      <c r="C42" s="115"/>
      <c r="D42" s="77">
        <f>'3. Assumptions and Drivers'!$C$46/12</f>
        <v>4166.666667</v>
      </c>
      <c r="E42" s="77">
        <f>'3. Assumptions and Drivers'!$C$46/12</f>
        <v>4166.666667</v>
      </c>
      <c r="F42" s="77">
        <f>'3. Assumptions and Drivers'!$C$46/12</f>
        <v>4166.666667</v>
      </c>
      <c r="G42" s="77">
        <f>'3. Assumptions and Drivers'!$C$46/12</f>
        <v>4166.666667</v>
      </c>
      <c r="H42" s="77">
        <f>'3. Assumptions and Drivers'!$C$46/12</f>
        <v>4166.666667</v>
      </c>
      <c r="I42" s="77">
        <f>'3. Assumptions and Drivers'!$C$46/12</f>
        <v>4166.666667</v>
      </c>
      <c r="J42" s="77">
        <f>'3. Assumptions and Drivers'!$C$46/12</f>
        <v>4166.666667</v>
      </c>
      <c r="K42" s="77">
        <f>'3. Assumptions and Drivers'!$C$46/12</f>
        <v>4166.666667</v>
      </c>
      <c r="L42" s="77">
        <f>'3. Assumptions and Drivers'!$C$46/12</f>
        <v>4166.666667</v>
      </c>
      <c r="M42" s="77">
        <f>'3. Assumptions and Drivers'!$C$46/12</f>
        <v>4166.666667</v>
      </c>
      <c r="N42" s="77">
        <f>'3. Assumptions and Drivers'!$C$46/12</f>
        <v>4166.666667</v>
      </c>
      <c r="O42" s="77">
        <f>'3. Assumptions and Drivers'!$C$46/12</f>
        <v>4166.666667</v>
      </c>
      <c r="P42" s="77">
        <f t="shared" si="6"/>
        <v>50000</v>
      </c>
    </row>
    <row r="43" ht="15.75" customHeight="1">
      <c r="A43" s="72" t="s">
        <v>340</v>
      </c>
      <c r="B43" s="72" t="s">
        <v>99</v>
      </c>
      <c r="C43" s="115"/>
      <c r="D43" s="175">
        <f t="shared" ref="D43:P43" si="7">SUM(D29:D42)</f>
        <v>60025</v>
      </c>
      <c r="E43" s="175">
        <f t="shared" si="7"/>
        <v>68816.66667</v>
      </c>
      <c r="F43" s="175">
        <f t="shared" si="7"/>
        <v>70016.66667</v>
      </c>
      <c r="G43" s="175">
        <f t="shared" si="7"/>
        <v>70016.66667</v>
      </c>
      <c r="H43" s="175">
        <f t="shared" si="7"/>
        <v>70016.66667</v>
      </c>
      <c r="I43" s="175">
        <f t="shared" si="7"/>
        <v>71816.66667</v>
      </c>
      <c r="J43" s="175">
        <f t="shared" si="7"/>
        <v>71816.66667</v>
      </c>
      <c r="K43" s="175">
        <f t="shared" si="7"/>
        <v>71816.66667</v>
      </c>
      <c r="L43" s="175">
        <f t="shared" si="7"/>
        <v>70016.66667</v>
      </c>
      <c r="M43" s="175">
        <f t="shared" si="7"/>
        <v>70016.66667</v>
      </c>
      <c r="N43" s="175">
        <f t="shared" si="7"/>
        <v>70016.66667</v>
      </c>
      <c r="O43" s="175">
        <f t="shared" si="7"/>
        <v>70016.66667</v>
      </c>
      <c r="P43" s="175">
        <f t="shared" si="7"/>
        <v>834408.3333</v>
      </c>
    </row>
    <row r="44" ht="15.75" customHeight="1">
      <c r="A44" s="3"/>
      <c r="B44" s="3"/>
      <c r="C44" s="115"/>
      <c r="D44" s="115"/>
      <c r="E44" s="115"/>
      <c r="F44" s="115"/>
      <c r="G44" s="77"/>
      <c r="H44" s="77"/>
      <c r="I44" s="77"/>
      <c r="J44" s="77"/>
      <c r="K44" s="77"/>
      <c r="L44" s="77"/>
      <c r="M44" s="77"/>
      <c r="N44" s="77"/>
      <c r="O44" s="77"/>
      <c r="P44" s="77"/>
    </row>
    <row r="45" ht="15.75" customHeight="1">
      <c r="A45" s="176" t="s">
        <v>341</v>
      </c>
      <c r="B45" s="3"/>
      <c r="C45" s="115"/>
      <c r="D45" s="115"/>
      <c r="E45" s="115"/>
      <c r="F45" s="115"/>
      <c r="G45" s="77"/>
      <c r="H45" s="77"/>
      <c r="I45" s="77"/>
      <c r="J45" s="77"/>
      <c r="K45" s="77"/>
      <c r="L45" s="77"/>
      <c r="M45" s="77"/>
      <c r="N45" s="77"/>
      <c r="O45" s="77"/>
      <c r="P45" s="77"/>
    </row>
    <row r="46" ht="15.75" customHeight="1">
      <c r="A46" s="72" t="s">
        <v>342</v>
      </c>
      <c r="B46" s="72" t="s">
        <v>99</v>
      </c>
      <c r="C46" s="77">
        <f>SUM(D26,D43)</f>
        <v>90566.66667</v>
      </c>
      <c r="D46" s="77">
        <f t="shared" ref="D46:P46" si="8">SUM(D26,D43)</f>
        <v>90566.66667</v>
      </c>
      <c r="E46" s="77">
        <f t="shared" si="8"/>
        <v>108525</v>
      </c>
      <c r="F46" s="77">
        <f t="shared" si="8"/>
        <v>109725</v>
      </c>
      <c r="G46" s="77">
        <f t="shared" si="8"/>
        <v>109725</v>
      </c>
      <c r="H46" s="77">
        <f t="shared" si="8"/>
        <v>109725</v>
      </c>
      <c r="I46" s="77">
        <f t="shared" si="8"/>
        <v>111525</v>
      </c>
      <c r="J46" s="77">
        <f t="shared" si="8"/>
        <v>123816.6667</v>
      </c>
      <c r="K46" s="77">
        <f t="shared" si="8"/>
        <v>123816.6667</v>
      </c>
      <c r="L46" s="77">
        <f t="shared" si="8"/>
        <v>122016.6667</v>
      </c>
      <c r="M46" s="77">
        <f t="shared" si="8"/>
        <v>122016.6667</v>
      </c>
      <c r="N46" s="77">
        <f t="shared" si="8"/>
        <v>122016.6667</v>
      </c>
      <c r="O46" s="77">
        <f t="shared" si="8"/>
        <v>122016.6667</v>
      </c>
      <c r="P46" s="77">
        <f t="shared" si="8"/>
        <v>1375491.667</v>
      </c>
    </row>
    <row r="47" ht="15.75" customHeight="1">
      <c r="A47" s="72" t="s">
        <v>343</v>
      </c>
      <c r="B47" s="72" t="s">
        <v>110</v>
      </c>
      <c r="C47" s="124">
        <v>0.15</v>
      </c>
      <c r="D47" s="85">
        <f t="shared" ref="D47:P47" si="9">D46*$C$47</f>
        <v>13585</v>
      </c>
      <c r="E47" s="85">
        <f t="shared" si="9"/>
        <v>16278.75</v>
      </c>
      <c r="F47" s="85">
        <f t="shared" si="9"/>
        <v>16458.75</v>
      </c>
      <c r="G47" s="85">
        <f t="shared" si="9"/>
        <v>16458.75</v>
      </c>
      <c r="H47" s="85">
        <f t="shared" si="9"/>
        <v>16458.75</v>
      </c>
      <c r="I47" s="85">
        <f t="shared" si="9"/>
        <v>16728.75</v>
      </c>
      <c r="J47" s="85">
        <f t="shared" si="9"/>
        <v>18572.5</v>
      </c>
      <c r="K47" s="85">
        <f t="shared" si="9"/>
        <v>18572.5</v>
      </c>
      <c r="L47" s="85">
        <f t="shared" si="9"/>
        <v>18302.5</v>
      </c>
      <c r="M47" s="85">
        <f t="shared" si="9"/>
        <v>18302.5</v>
      </c>
      <c r="N47" s="85">
        <f t="shared" si="9"/>
        <v>18302.5</v>
      </c>
      <c r="O47" s="85">
        <f t="shared" si="9"/>
        <v>18302.5</v>
      </c>
      <c r="P47" s="85">
        <f t="shared" si="9"/>
        <v>206323.75</v>
      </c>
    </row>
    <row r="48" ht="15.75" customHeight="1">
      <c r="A48" s="72" t="s">
        <v>344</v>
      </c>
      <c r="B48" s="72" t="s">
        <v>99</v>
      </c>
      <c r="C48" s="3"/>
      <c r="D48" s="85">
        <f t="shared" ref="D48:O48" si="10">D26*(1+$C$47)</f>
        <v>35122.91667</v>
      </c>
      <c r="E48" s="85">
        <f t="shared" si="10"/>
        <v>45664.58333</v>
      </c>
      <c r="F48" s="85">
        <f t="shared" si="10"/>
        <v>45664.58333</v>
      </c>
      <c r="G48" s="85">
        <f t="shared" si="10"/>
        <v>45664.58333</v>
      </c>
      <c r="H48" s="85">
        <f t="shared" si="10"/>
        <v>45664.58333</v>
      </c>
      <c r="I48" s="85">
        <f t="shared" si="10"/>
        <v>45664.58333</v>
      </c>
      <c r="J48" s="85">
        <f t="shared" si="10"/>
        <v>59800</v>
      </c>
      <c r="K48" s="85">
        <f t="shared" si="10"/>
        <v>59800</v>
      </c>
      <c r="L48" s="85">
        <f t="shared" si="10"/>
        <v>59800</v>
      </c>
      <c r="M48" s="85">
        <f t="shared" si="10"/>
        <v>59800</v>
      </c>
      <c r="N48" s="85">
        <f t="shared" si="10"/>
        <v>59800</v>
      </c>
      <c r="O48" s="85">
        <f t="shared" si="10"/>
        <v>59800</v>
      </c>
      <c r="P48" s="85">
        <f t="shared" ref="P48:P49" si="12">SUM(B48:O48)</f>
        <v>622245.8333</v>
      </c>
    </row>
    <row r="49" ht="15.75" customHeight="1">
      <c r="A49" s="72" t="s">
        <v>345</v>
      </c>
      <c r="B49" s="72" t="s">
        <v>99</v>
      </c>
      <c r="C49" s="3"/>
      <c r="D49" s="85">
        <f t="shared" ref="D49:O49" si="11">D43*(1+$C$47)</f>
        <v>69028.75</v>
      </c>
      <c r="E49" s="85">
        <f t="shared" si="11"/>
        <v>79139.16667</v>
      </c>
      <c r="F49" s="85">
        <f t="shared" si="11"/>
        <v>80519.16667</v>
      </c>
      <c r="G49" s="85">
        <f t="shared" si="11"/>
        <v>80519.16667</v>
      </c>
      <c r="H49" s="85">
        <f t="shared" si="11"/>
        <v>80519.16667</v>
      </c>
      <c r="I49" s="85">
        <f t="shared" si="11"/>
        <v>82589.16667</v>
      </c>
      <c r="J49" s="85">
        <f t="shared" si="11"/>
        <v>82589.16667</v>
      </c>
      <c r="K49" s="85">
        <f t="shared" si="11"/>
        <v>82589.16667</v>
      </c>
      <c r="L49" s="85">
        <f t="shared" si="11"/>
        <v>80519.16667</v>
      </c>
      <c r="M49" s="85">
        <f t="shared" si="11"/>
        <v>80519.16667</v>
      </c>
      <c r="N49" s="85">
        <f t="shared" si="11"/>
        <v>80519.16667</v>
      </c>
      <c r="O49" s="85">
        <f t="shared" si="11"/>
        <v>80519.16667</v>
      </c>
      <c r="P49" s="85">
        <f t="shared" si="12"/>
        <v>959569.5833</v>
      </c>
    </row>
    <row r="50" ht="15.75" customHeight="1">
      <c r="A50" s="72" t="s">
        <v>346</v>
      </c>
      <c r="B50" s="72" t="s">
        <v>99</v>
      </c>
      <c r="C50" s="3"/>
      <c r="D50" s="177">
        <f t="shared" ref="D50:P50" si="13">SUM(D46:D47)</f>
        <v>104151.6667</v>
      </c>
      <c r="E50" s="177">
        <f t="shared" si="13"/>
        <v>124803.75</v>
      </c>
      <c r="F50" s="177">
        <f t="shared" si="13"/>
        <v>126183.75</v>
      </c>
      <c r="G50" s="177">
        <f t="shared" si="13"/>
        <v>126183.75</v>
      </c>
      <c r="H50" s="177">
        <f t="shared" si="13"/>
        <v>126183.75</v>
      </c>
      <c r="I50" s="177">
        <f t="shared" si="13"/>
        <v>128253.75</v>
      </c>
      <c r="J50" s="177">
        <f t="shared" si="13"/>
        <v>142389.1667</v>
      </c>
      <c r="K50" s="177">
        <f t="shared" si="13"/>
        <v>142389.1667</v>
      </c>
      <c r="L50" s="177">
        <f t="shared" si="13"/>
        <v>140319.1667</v>
      </c>
      <c r="M50" s="177">
        <f t="shared" si="13"/>
        <v>140319.1667</v>
      </c>
      <c r="N50" s="177">
        <f t="shared" si="13"/>
        <v>140319.1667</v>
      </c>
      <c r="O50" s="177">
        <f t="shared" si="13"/>
        <v>140319.1667</v>
      </c>
      <c r="P50" s="177">
        <f t="shared" si="13"/>
        <v>1581815.417</v>
      </c>
    </row>
    <row r="51" ht="15.75" customHeight="1">
      <c r="A51" s="3"/>
      <c r="B51" s="3"/>
      <c r="C51" s="3"/>
      <c r="D51" s="3"/>
      <c r="E51" s="3"/>
      <c r="F51" s="3"/>
    </row>
    <row r="52" ht="15.75" customHeight="1">
      <c r="A52" s="176" t="s">
        <v>347</v>
      </c>
      <c r="B52" s="3"/>
      <c r="C52" s="3"/>
      <c r="D52" s="3"/>
      <c r="E52" s="3"/>
      <c r="F52" s="3"/>
    </row>
    <row r="53" ht="15.75" customHeight="1">
      <c r="A53" s="72" t="s">
        <v>314</v>
      </c>
      <c r="B53" s="3" t="s">
        <v>99</v>
      </c>
      <c r="C53" s="3"/>
      <c r="D53" s="85">
        <f>(D3-C3)*('3. Assumptions and Drivers'!$C$15*'3. Assumptions and Drivers'!$G$23)</f>
        <v>0</v>
      </c>
      <c r="E53" s="85">
        <f>(E3-D3)*('3. Assumptions and Drivers'!$C$15*'3. Assumptions and Drivers'!$G$23)</f>
        <v>0</v>
      </c>
      <c r="F53" s="85">
        <f>(F3-E3)*('3. Assumptions and Drivers'!$C$15*'3. Assumptions and Drivers'!$G$23)</f>
        <v>0</v>
      </c>
      <c r="G53" s="85">
        <f>(G3-F3)*('3. Assumptions and Drivers'!$C$15*'3. Assumptions and Drivers'!$G$23)</f>
        <v>0</v>
      </c>
      <c r="H53" s="85">
        <f>(H3-G3)*('3. Assumptions and Drivers'!$C$15*'3. Assumptions and Drivers'!$G$23)</f>
        <v>0</v>
      </c>
      <c r="I53" s="85">
        <f>(I3-H3)*('3. Assumptions and Drivers'!$C$15*'3. Assumptions and Drivers'!$G$23)</f>
        <v>0</v>
      </c>
      <c r="J53" s="85">
        <f>(J3-I3)*('3. Assumptions and Drivers'!$C$15*'3. Assumptions and Drivers'!$G$23)</f>
        <v>0</v>
      </c>
      <c r="K53" s="85">
        <f>(K3-J3)*('3. Assumptions and Drivers'!$C$15*'3. Assumptions and Drivers'!$G$23)</f>
        <v>0</v>
      </c>
      <c r="L53" s="85">
        <f>(L3-K3)*('3. Assumptions and Drivers'!$C$15*'3. Assumptions and Drivers'!$G$23)</f>
        <v>0</v>
      </c>
      <c r="M53" s="85">
        <f>(M3-L3)*('3. Assumptions and Drivers'!$C$15*'3. Assumptions and Drivers'!$G$23)</f>
        <v>0</v>
      </c>
      <c r="N53" s="85">
        <f>(N3-M3)*('3. Assumptions and Drivers'!$C$15*'3. Assumptions and Drivers'!$G$23)</f>
        <v>0</v>
      </c>
      <c r="O53" s="85">
        <f>(O3-N3)*('3. Assumptions and Drivers'!$C$15*'3. Assumptions and Drivers'!$G$23)</f>
        <v>0</v>
      </c>
      <c r="P53" s="85">
        <f t="shared" ref="P53:P66" si="14">SUM(D53:O53)</f>
        <v>0</v>
      </c>
    </row>
    <row r="54" ht="15.75" customHeight="1">
      <c r="A54" s="72" t="s">
        <v>315</v>
      </c>
      <c r="B54" s="3" t="s">
        <v>99</v>
      </c>
      <c r="C54" s="3"/>
      <c r="D54" s="85">
        <f>(D4-C4)*('3. Assumptions and Drivers'!$C$18*'3. Assumptions and Drivers'!$G$23)</f>
        <v>0</v>
      </c>
      <c r="E54" s="85">
        <f>(E4-D4)*('3. Assumptions and Drivers'!$C$18*'3. Assumptions and Drivers'!$G$23)</f>
        <v>0</v>
      </c>
      <c r="F54" s="85">
        <f>(F4-E4)*('3. Assumptions and Drivers'!$C$18*'3. Assumptions and Drivers'!$G$23)</f>
        <v>0</v>
      </c>
      <c r="G54" s="85">
        <f>(G4-F4)*('3. Assumptions and Drivers'!$C$18*'3. Assumptions and Drivers'!$G$23)</f>
        <v>0</v>
      </c>
      <c r="H54" s="85">
        <f>(H4-G4)*('3. Assumptions and Drivers'!$C$18*'3. Assumptions and Drivers'!$G$23)</f>
        <v>0</v>
      </c>
      <c r="I54" s="85">
        <f>(I4-H4)*('3. Assumptions and Drivers'!$C$18*'3. Assumptions and Drivers'!$G$23)</f>
        <v>0</v>
      </c>
      <c r="J54" s="85">
        <f>(J4-I4)*('3. Assumptions and Drivers'!$C$18*'3. Assumptions and Drivers'!$G$23)</f>
        <v>0</v>
      </c>
      <c r="K54" s="85">
        <f>(K4-J4)*('3. Assumptions and Drivers'!$C$18*'3. Assumptions and Drivers'!$G$23)</f>
        <v>0</v>
      </c>
      <c r="L54" s="85">
        <f>(L4-K4)*('3. Assumptions and Drivers'!$C$18*'3. Assumptions and Drivers'!$G$23)</f>
        <v>0</v>
      </c>
      <c r="M54" s="85">
        <f>(M4-L4)*('3. Assumptions and Drivers'!$C$18*'3. Assumptions and Drivers'!$G$23)</f>
        <v>0</v>
      </c>
      <c r="N54" s="85">
        <f>(N4-M4)*('3. Assumptions and Drivers'!$C$18*'3. Assumptions and Drivers'!$G$23)</f>
        <v>0</v>
      </c>
      <c r="O54" s="85">
        <f>(O4-N4)*('3. Assumptions and Drivers'!$C$18*'3. Assumptions and Drivers'!$G$23)</f>
        <v>0</v>
      </c>
      <c r="P54" s="85">
        <f t="shared" si="14"/>
        <v>0</v>
      </c>
    </row>
    <row r="55" ht="15.75" customHeight="1">
      <c r="A55" s="72" t="s">
        <v>141</v>
      </c>
      <c r="B55" s="3" t="s">
        <v>99</v>
      </c>
      <c r="C55" s="3"/>
      <c r="D55" s="85">
        <f>(D5-C5)*('3. Assumptions and Drivers'!$C$21*'3. Assumptions and Drivers'!$G$23)</f>
        <v>0</v>
      </c>
      <c r="E55" s="85">
        <f>(E5-D5)*('3. Assumptions and Drivers'!$C$21*'3. Assumptions and Drivers'!$G$23)</f>
        <v>0</v>
      </c>
      <c r="F55" s="85">
        <f>(F5-E5)*('3. Assumptions and Drivers'!$C$21*'3. Assumptions and Drivers'!$G$23)</f>
        <v>0</v>
      </c>
      <c r="G55" s="85">
        <f>(G5-F5)*('3. Assumptions and Drivers'!$C$21*'3. Assumptions and Drivers'!$G$23)</f>
        <v>0</v>
      </c>
      <c r="H55" s="85">
        <f>(H5-G5)*('3. Assumptions and Drivers'!$C$21*'3. Assumptions and Drivers'!$G$23)</f>
        <v>0</v>
      </c>
      <c r="I55" s="85">
        <f>(I5-H5)*('3. Assumptions and Drivers'!$C$21*'3. Assumptions and Drivers'!$G$23)</f>
        <v>0</v>
      </c>
      <c r="J55" s="85">
        <f>(J5-I5)*('3. Assumptions and Drivers'!$C$21*'3. Assumptions and Drivers'!$G$23)</f>
        <v>0</v>
      </c>
      <c r="K55" s="85">
        <f>(K5-J5)*('3. Assumptions and Drivers'!$C$21*'3. Assumptions and Drivers'!$G$23)</f>
        <v>0</v>
      </c>
      <c r="L55" s="85">
        <f>(L5-K5)*('3. Assumptions and Drivers'!$C$21*'3. Assumptions and Drivers'!$G$23)</f>
        <v>0</v>
      </c>
      <c r="M55" s="85">
        <f>(M5-L5)*('3. Assumptions and Drivers'!$C$21*'3. Assumptions and Drivers'!$G$23)</f>
        <v>0</v>
      </c>
      <c r="N55" s="85">
        <f>(N5-M5)*('3. Assumptions and Drivers'!$C$21*'3. Assumptions and Drivers'!$G$23)</f>
        <v>0</v>
      </c>
      <c r="O55" s="85">
        <f>(O5-N5)*('3. Assumptions and Drivers'!$C$21*'3. Assumptions and Drivers'!$G$23)</f>
        <v>0</v>
      </c>
      <c r="P55" s="85">
        <f t="shared" si="14"/>
        <v>0</v>
      </c>
    </row>
    <row r="56" ht="15.75" customHeight="1">
      <c r="A56" s="72" t="s">
        <v>316</v>
      </c>
      <c r="B56" s="3" t="s">
        <v>99</v>
      </c>
      <c r="C56" s="3"/>
      <c r="D56" s="85">
        <f>(D6-C6)*('3. Assumptions and Drivers'!$C$24*'3. Assumptions and Drivers'!$G$23)</f>
        <v>0</v>
      </c>
      <c r="E56" s="85">
        <f>(E6-D6)*('3. Assumptions and Drivers'!$C$24*'3. Assumptions and Drivers'!$G$23)</f>
        <v>0</v>
      </c>
      <c r="F56" s="85">
        <f>(F6-E6)*('3. Assumptions and Drivers'!$C$24*'3. Assumptions and Drivers'!$G$23)</f>
        <v>0</v>
      </c>
      <c r="G56" s="85">
        <f>(G6-F6)*('3. Assumptions and Drivers'!$C$24*'3. Assumptions and Drivers'!$G$23)</f>
        <v>0</v>
      </c>
      <c r="H56" s="85">
        <f>(H6-G6)*('3. Assumptions and Drivers'!$C$24*'3. Assumptions and Drivers'!$G$23)</f>
        <v>0</v>
      </c>
      <c r="I56" s="85">
        <f>(I6-H6)*('3. Assumptions and Drivers'!$C$24*'3. Assumptions and Drivers'!$G$23)</f>
        <v>0</v>
      </c>
      <c r="J56" s="85">
        <f>(J6-I6)*('3. Assumptions and Drivers'!$C$24*'3. Assumptions and Drivers'!$G$23)</f>
        <v>0</v>
      </c>
      <c r="K56" s="85">
        <f>(K6-J6)*('3. Assumptions and Drivers'!$C$24*'3. Assumptions and Drivers'!$G$23)</f>
        <v>0</v>
      </c>
      <c r="L56" s="85">
        <f>(L6-K6)*('3. Assumptions and Drivers'!$C$24*'3. Assumptions and Drivers'!$G$23)</f>
        <v>0</v>
      </c>
      <c r="M56" s="85">
        <f>(M6-L6)*('3. Assumptions and Drivers'!$C$24*'3. Assumptions and Drivers'!$G$23)</f>
        <v>0</v>
      </c>
      <c r="N56" s="85">
        <f>(N6-M6)*('3. Assumptions and Drivers'!$C$24*'3. Assumptions and Drivers'!$G$23)</f>
        <v>0</v>
      </c>
      <c r="O56" s="85">
        <f>(O6-N6)*('3. Assumptions and Drivers'!$C$24*'3. Assumptions and Drivers'!$G$23)</f>
        <v>0</v>
      </c>
      <c r="P56" s="85">
        <f t="shared" si="14"/>
        <v>0</v>
      </c>
    </row>
    <row r="57" ht="15.75" customHeight="1">
      <c r="A57" s="72" t="s">
        <v>317</v>
      </c>
      <c r="B57" s="3" t="s">
        <v>99</v>
      </c>
      <c r="C57" s="3"/>
      <c r="D57" s="85">
        <f>(D7-C7)*('3. Assumptions and Drivers'!$C$27*'3. Assumptions and Drivers'!$G$23)</f>
        <v>0</v>
      </c>
      <c r="E57" s="85">
        <f>(E7-D7)*('3. Assumptions and Drivers'!$C$27*'3. Assumptions and Drivers'!$G$23)</f>
        <v>4675</v>
      </c>
      <c r="F57" s="85">
        <f>(F7-E7)*('3. Assumptions and Drivers'!$C$27*'3. Assumptions and Drivers'!$G$23)</f>
        <v>0</v>
      </c>
      <c r="G57" s="85">
        <f>(G7-F7)*('3. Assumptions and Drivers'!$C$27*'3. Assumptions and Drivers'!$G$23)</f>
        <v>0</v>
      </c>
      <c r="H57" s="85">
        <f>(H7-G7)*('3. Assumptions and Drivers'!$C$27*'3. Assumptions and Drivers'!$G$23)</f>
        <v>0</v>
      </c>
      <c r="I57" s="85">
        <f>(I7-H7)*('3. Assumptions and Drivers'!$C$27*'3. Assumptions and Drivers'!$G$23)</f>
        <v>0</v>
      </c>
      <c r="J57" s="85">
        <f>(J7-I7)*('3. Assumptions and Drivers'!$C$27*'3. Assumptions and Drivers'!$G$23)</f>
        <v>4675</v>
      </c>
      <c r="K57" s="85">
        <f>(K7-J7)*('3. Assumptions and Drivers'!$C$27*'3. Assumptions and Drivers'!$G$23)</f>
        <v>0</v>
      </c>
      <c r="L57" s="85">
        <f>(L7-K7)*('3. Assumptions and Drivers'!$C$27*'3. Assumptions and Drivers'!$G$23)</f>
        <v>0</v>
      </c>
      <c r="M57" s="85">
        <f>(M7-L7)*('3. Assumptions and Drivers'!$C$27*'3. Assumptions and Drivers'!$G$23)</f>
        <v>0</v>
      </c>
      <c r="N57" s="85">
        <f>(N7-M7)*('3. Assumptions and Drivers'!$C$27*'3. Assumptions and Drivers'!$G$23)</f>
        <v>0</v>
      </c>
      <c r="O57" s="85">
        <f>(O7-N7)*('3. Assumptions and Drivers'!$C$27*'3. Assumptions and Drivers'!$G$23)</f>
        <v>0</v>
      </c>
      <c r="P57" s="85">
        <f t="shared" si="14"/>
        <v>9350</v>
      </c>
    </row>
    <row r="58" ht="15.75" customHeight="1">
      <c r="A58" s="72" t="s">
        <v>318</v>
      </c>
      <c r="B58" s="3" t="s">
        <v>99</v>
      </c>
      <c r="C58" s="3"/>
      <c r="D58" s="85">
        <f>(D8-C8)*('3. Assumptions and Drivers'!$C$36*'3. Assumptions and Drivers'!$G$23)</f>
        <v>0</v>
      </c>
      <c r="E58" s="85">
        <f>(E8-D8)*('3. Assumptions and Drivers'!$C$36*'3. Assumptions and Drivers'!$G$23)</f>
        <v>3825</v>
      </c>
      <c r="F58" s="85">
        <f>(F8-E8)*('3. Assumptions and Drivers'!$C$36*'3. Assumptions and Drivers'!$G$23)</f>
        <v>0</v>
      </c>
      <c r="G58" s="85">
        <f>(G8-F8)*('3. Assumptions and Drivers'!$C$36*'3. Assumptions and Drivers'!$G$23)</f>
        <v>0</v>
      </c>
      <c r="H58" s="85">
        <f>(H8-G8)*('3. Assumptions and Drivers'!$C$36*'3. Assumptions and Drivers'!$G$23)</f>
        <v>0</v>
      </c>
      <c r="I58" s="85">
        <f>(I8-H8)*('3. Assumptions and Drivers'!$C$36*'3. Assumptions and Drivers'!$G$23)</f>
        <v>0</v>
      </c>
      <c r="J58" s="85">
        <f>(J8-I8)*('3. Assumptions and Drivers'!$C$36*'3. Assumptions and Drivers'!$G$23)</f>
        <v>3825</v>
      </c>
      <c r="K58" s="85">
        <f>(K8-J8)*('3. Assumptions and Drivers'!$C$36*'3. Assumptions and Drivers'!$G$23)</f>
        <v>0</v>
      </c>
      <c r="L58" s="85">
        <f>(L8-K8)*('3. Assumptions and Drivers'!$C$36*'3. Assumptions and Drivers'!$G$23)</f>
        <v>0</v>
      </c>
      <c r="M58" s="85">
        <f>(M8-L8)*('3. Assumptions and Drivers'!$C$36*'3. Assumptions and Drivers'!$G$23)</f>
        <v>0</v>
      </c>
      <c r="N58" s="85">
        <f>(N8-M8)*('3. Assumptions and Drivers'!$C$36*'3. Assumptions and Drivers'!$G$23)</f>
        <v>0</v>
      </c>
      <c r="O58" s="85">
        <f>(O8-N8)*('3. Assumptions and Drivers'!$C$36*'3. Assumptions and Drivers'!$G$23)</f>
        <v>0</v>
      </c>
      <c r="P58" s="85">
        <f t="shared" si="14"/>
        <v>7650</v>
      </c>
    </row>
    <row r="59" ht="15.75" customHeight="1">
      <c r="A59" s="72" t="s">
        <v>319</v>
      </c>
      <c r="B59" s="3" t="s">
        <v>99</v>
      </c>
      <c r="C59" s="3"/>
      <c r="D59" s="85">
        <f>(D9-C9)*('3. Assumptions and Drivers'!$C$30*'3. Assumptions and Drivers'!$G$23)</f>
        <v>0</v>
      </c>
      <c r="E59" s="85">
        <f>(E9-D9)*('3. Assumptions and Drivers'!$C$30*'3. Assumptions and Drivers'!$G$23)</f>
        <v>4675</v>
      </c>
      <c r="F59" s="85">
        <f>(F9-E9)*('3. Assumptions and Drivers'!$C$30*'3. Assumptions and Drivers'!$G$23)</f>
        <v>0</v>
      </c>
      <c r="G59" s="85">
        <f>(G9-F9)*('3. Assumptions and Drivers'!$C$30*'3. Assumptions and Drivers'!$G$23)</f>
        <v>0</v>
      </c>
      <c r="H59" s="85">
        <f>(H9-G9)*('3. Assumptions and Drivers'!$C$30*'3. Assumptions and Drivers'!$G$23)</f>
        <v>0</v>
      </c>
      <c r="I59" s="85">
        <f>(I9-H9)*('3. Assumptions and Drivers'!$C$30*'3. Assumptions and Drivers'!$G$23)</f>
        <v>0</v>
      </c>
      <c r="J59" s="85">
        <f>(J9-I9)*('3. Assumptions and Drivers'!$C$30*'3. Assumptions and Drivers'!$G$23)</f>
        <v>0</v>
      </c>
      <c r="K59" s="85">
        <f>(K9-J9)*('3. Assumptions and Drivers'!$C$30*'3. Assumptions and Drivers'!$G$23)</f>
        <v>0</v>
      </c>
      <c r="L59" s="85">
        <f>(L9-K9)*('3. Assumptions and Drivers'!$C$30*'3. Assumptions and Drivers'!$G$23)</f>
        <v>0</v>
      </c>
      <c r="M59" s="85">
        <f>(M9-L9)*('3. Assumptions and Drivers'!$C$30*'3. Assumptions and Drivers'!$G$23)</f>
        <v>0</v>
      </c>
      <c r="N59" s="85">
        <f>(N9-M9)*('3. Assumptions and Drivers'!$C$30*'3. Assumptions and Drivers'!$G$23)</f>
        <v>0</v>
      </c>
      <c r="O59" s="85">
        <f>(O9-N9)*('3. Assumptions and Drivers'!$C$30*'3. Assumptions and Drivers'!$G$23)</f>
        <v>0</v>
      </c>
      <c r="P59" s="85">
        <f t="shared" si="14"/>
        <v>4675</v>
      </c>
    </row>
    <row r="60" ht="15.75" customHeight="1">
      <c r="A60" s="72" t="s">
        <v>173</v>
      </c>
      <c r="B60" s="3" t="s">
        <v>99</v>
      </c>
      <c r="C60" s="3"/>
      <c r="D60" s="85">
        <f>(D10-C10)*('3. Assumptions and Drivers'!$C$33*'3. Assumptions and Drivers'!$G$23)</f>
        <v>0</v>
      </c>
      <c r="E60" s="85">
        <f>(E10-D10)*('3. Assumptions and Drivers'!$C$33*'3. Assumptions and Drivers'!$G$23)</f>
        <v>3825</v>
      </c>
      <c r="F60" s="85">
        <f>(F10-E10)*('3. Assumptions and Drivers'!$C$33*'3. Assumptions and Drivers'!$G$23)</f>
        <v>0</v>
      </c>
      <c r="G60" s="85">
        <f>(G10-F10)*('3. Assumptions and Drivers'!$C$33*'3. Assumptions and Drivers'!$G$23)</f>
        <v>0</v>
      </c>
      <c r="H60" s="85">
        <f>(H10-G10)*('3. Assumptions and Drivers'!$C$33*'3. Assumptions and Drivers'!$G$23)</f>
        <v>0</v>
      </c>
      <c r="I60" s="85">
        <f>(I10-H10)*('3. Assumptions and Drivers'!$C$33*'3. Assumptions and Drivers'!$G$23)</f>
        <v>0</v>
      </c>
      <c r="J60" s="85">
        <f>(J10-I10)*('3. Assumptions and Drivers'!$C$33*'3. Assumptions and Drivers'!$G$23)</f>
        <v>0</v>
      </c>
      <c r="K60" s="85">
        <f>(K10-J10)*('3. Assumptions and Drivers'!$C$33*'3. Assumptions and Drivers'!$G$23)</f>
        <v>0</v>
      </c>
      <c r="L60" s="85">
        <f>(L10-K10)*('3. Assumptions and Drivers'!$C$33*'3. Assumptions and Drivers'!$G$23)</f>
        <v>0</v>
      </c>
      <c r="M60" s="85">
        <f>(M10-L10)*('3. Assumptions and Drivers'!$C$33*'3. Assumptions and Drivers'!$G$23)</f>
        <v>0</v>
      </c>
      <c r="N60" s="85">
        <f>(N10-M10)*('3. Assumptions and Drivers'!$C$33*'3. Assumptions and Drivers'!$G$23)</f>
        <v>0</v>
      </c>
      <c r="O60" s="85">
        <f>(O10-N10)*('3. Assumptions and Drivers'!$C$33*'3. Assumptions and Drivers'!$G$23)</f>
        <v>0</v>
      </c>
      <c r="P60" s="85">
        <f t="shared" si="14"/>
        <v>3825</v>
      </c>
    </row>
    <row r="61" ht="15.75" customHeight="1">
      <c r="A61" s="72" t="s">
        <v>320</v>
      </c>
      <c r="B61" s="3" t="s">
        <v>99</v>
      </c>
      <c r="C61" s="3"/>
      <c r="D61" s="85">
        <f>(D11-C11)*('3. Assumptions and Drivers'!$C$39*'3. Assumptions and Drivers'!$G$23)</f>
        <v>0</v>
      </c>
      <c r="E61" s="85">
        <f>(E11-D11)*('3. Assumptions and Drivers'!$C$39*'3. Assumptions and Drivers'!$G$23)</f>
        <v>0</v>
      </c>
      <c r="F61" s="85">
        <f>(F11-E11)*('3. Assumptions and Drivers'!$C$39*'3. Assumptions and Drivers'!$G$23)</f>
        <v>0</v>
      </c>
      <c r="G61" s="85">
        <f>(G11-F11)*('3. Assumptions and Drivers'!$C$39*'3. Assumptions and Drivers'!$G$23)</f>
        <v>0</v>
      </c>
      <c r="H61" s="85">
        <f>(H11-G11)*('3. Assumptions and Drivers'!$C$39*'3. Assumptions and Drivers'!$G$23)</f>
        <v>0</v>
      </c>
      <c r="I61" s="85">
        <f>(I11-H11)*('3. Assumptions and Drivers'!$C$39*'3. Assumptions and Drivers'!$G$23)</f>
        <v>0</v>
      </c>
      <c r="J61" s="85">
        <f>(J11-I11)*('3. Assumptions and Drivers'!$C$39*'3. Assumptions and Drivers'!$G$23)</f>
        <v>0</v>
      </c>
      <c r="K61" s="85">
        <f>(K11-J11)*('3. Assumptions and Drivers'!$C$39*'3. Assumptions and Drivers'!$G$23)</f>
        <v>0</v>
      </c>
      <c r="L61" s="85">
        <f>(L11-K11)*('3. Assumptions and Drivers'!$C$39*'3. Assumptions and Drivers'!$G$23)</f>
        <v>0</v>
      </c>
      <c r="M61" s="85">
        <f>(M11-L11)*('3. Assumptions and Drivers'!$C$39*'3. Assumptions and Drivers'!$G$23)</f>
        <v>0</v>
      </c>
      <c r="N61" s="85">
        <f>(N11-M11)*('3. Assumptions and Drivers'!$C$39*'3. Assumptions and Drivers'!$G$23)</f>
        <v>0</v>
      </c>
      <c r="O61" s="85">
        <f>(O11-N11)*('3. Assumptions and Drivers'!$C$39*'3. Assumptions and Drivers'!$G$23)</f>
        <v>0</v>
      </c>
      <c r="P61" s="85">
        <f t="shared" si="14"/>
        <v>0</v>
      </c>
    </row>
    <row r="62" ht="15.75" customHeight="1">
      <c r="A62" s="72" t="s">
        <v>321</v>
      </c>
      <c r="B62" s="3" t="s">
        <v>99</v>
      </c>
      <c r="C62" s="3"/>
      <c r="D62" s="85">
        <f>(D12-C12)*('3. Assumptions and Drivers'!$C$45*'3. Assumptions and Drivers'!$G$23)</f>
        <v>0</v>
      </c>
      <c r="E62" s="85">
        <f>(E12-D12)*('3. Assumptions and Drivers'!$C$45*'3. Assumptions and Drivers'!$G$23)</f>
        <v>0</v>
      </c>
      <c r="F62" s="85">
        <f>(F12-E12)*('3. Assumptions and Drivers'!$C$45*'3. Assumptions and Drivers'!$G$23)</f>
        <v>0</v>
      </c>
      <c r="G62" s="85">
        <f>(G12-F12)*('3. Assumptions and Drivers'!$C$45*'3. Assumptions and Drivers'!$G$23)</f>
        <v>0</v>
      </c>
      <c r="H62" s="85">
        <f>(H12-G12)*('3. Assumptions and Drivers'!$C$45*'3. Assumptions and Drivers'!$G$23)</f>
        <v>0</v>
      </c>
      <c r="I62" s="85">
        <f>(I12-H12)*('3. Assumptions and Drivers'!$C$45*'3. Assumptions and Drivers'!$G$23)</f>
        <v>0</v>
      </c>
      <c r="J62" s="85">
        <f>(J12-I12)*('3. Assumptions and Drivers'!$C$45*'3. Assumptions and Drivers'!$G$23)</f>
        <v>0</v>
      </c>
      <c r="K62" s="85">
        <f>(K12-J12)*('3. Assumptions and Drivers'!$C$45*'3. Assumptions and Drivers'!$G$23)</f>
        <v>0</v>
      </c>
      <c r="L62" s="85">
        <f>(L12-K12)*('3. Assumptions and Drivers'!$C$45*'3. Assumptions and Drivers'!$G$23)</f>
        <v>0</v>
      </c>
      <c r="M62" s="85">
        <f>(M12-L12)*('3. Assumptions and Drivers'!$C$45*'3. Assumptions and Drivers'!$G$23)</f>
        <v>0</v>
      </c>
      <c r="N62" s="85">
        <f>(N12-M12)*('3. Assumptions and Drivers'!$C$45*'3. Assumptions and Drivers'!$G$23)</f>
        <v>0</v>
      </c>
      <c r="O62" s="85">
        <f>(O12-N12)*('3. Assumptions and Drivers'!$C$45*'3. Assumptions and Drivers'!$G$23)</f>
        <v>0</v>
      </c>
      <c r="P62" s="85">
        <f t="shared" si="14"/>
        <v>0</v>
      </c>
    </row>
    <row r="63" ht="15.75" customHeight="1">
      <c r="A63" s="72" t="s">
        <v>190</v>
      </c>
      <c r="B63" s="3" t="s">
        <v>99</v>
      </c>
      <c r="C63" s="3"/>
      <c r="D63" s="85">
        <f>(D13-C13)*('3. Assumptions and Drivers'!$C$46*'3. Assumptions and Drivers'!$G$23)</f>
        <v>0</v>
      </c>
      <c r="E63" s="85">
        <f>(E13-D13)*('3. Assumptions and Drivers'!$C$46*'3. Assumptions and Drivers'!$G$23)</f>
        <v>0</v>
      </c>
      <c r="F63" s="85">
        <f>(F13-E13)*('3. Assumptions and Drivers'!$C$46*'3. Assumptions and Drivers'!$G$23)</f>
        <v>0</v>
      </c>
      <c r="G63" s="85">
        <f>(G13-F13)*('3. Assumptions and Drivers'!$C$46*'3. Assumptions and Drivers'!$G$23)</f>
        <v>0</v>
      </c>
      <c r="H63" s="85">
        <f>(H13-G13)*('3. Assumptions and Drivers'!$C$46*'3. Assumptions and Drivers'!$G$23)</f>
        <v>0</v>
      </c>
      <c r="I63" s="85">
        <f>(I13-H13)*('3. Assumptions and Drivers'!$C$46*'3. Assumptions and Drivers'!$G$23)</f>
        <v>0</v>
      </c>
      <c r="J63" s="85">
        <f>(J13-I13)*('3. Assumptions and Drivers'!$C$46*'3. Assumptions and Drivers'!$G$23)</f>
        <v>0</v>
      </c>
      <c r="K63" s="85">
        <f>(K13-J13)*('3. Assumptions and Drivers'!$C$46*'3. Assumptions and Drivers'!$G$23)</f>
        <v>0</v>
      </c>
      <c r="L63" s="85">
        <f>(L13-K13)*('3. Assumptions and Drivers'!$C$46*'3. Assumptions and Drivers'!$G$23)</f>
        <v>0</v>
      </c>
      <c r="M63" s="85">
        <f>(M13-L13)*('3. Assumptions and Drivers'!$C$46*'3. Assumptions and Drivers'!$G$23)</f>
        <v>0</v>
      </c>
      <c r="N63" s="85">
        <f>(N13-M13)*('3. Assumptions and Drivers'!$C$46*'3. Assumptions and Drivers'!$G$23)</f>
        <v>0</v>
      </c>
      <c r="O63" s="85">
        <f>(O13-N13)*('3. Assumptions and Drivers'!$C$46*'3. Assumptions and Drivers'!$G$23)</f>
        <v>0</v>
      </c>
      <c r="P63" s="85">
        <f t="shared" si="14"/>
        <v>0</v>
      </c>
    </row>
    <row r="64" ht="15.75" customHeight="1">
      <c r="A64" s="72" t="s">
        <v>348</v>
      </c>
      <c r="B64" s="3" t="s">
        <v>99</v>
      </c>
      <c r="C64" s="3"/>
      <c r="D64" s="85">
        <f>(D14-C14)*'3. Assumptions and Drivers'!$G$24</f>
        <v>0</v>
      </c>
      <c r="E64" s="85">
        <f>(E14-D14)*'3. Assumptions and Drivers'!$G$24</f>
        <v>0</v>
      </c>
      <c r="F64" s="85">
        <f>(F14-E14)*'3. Assumptions and Drivers'!$G$24</f>
        <v>0</v>
      </c>
      <c r="G64" s="85">
        <f>(G14-F14)*'3. Assumptions and Drivers'!$G$24</f>
        <v>0</v>
      </c>
      <c r="H64" s="85">
        <f>(H14-G14)*'3. Assumptions and Drivers'!$G$24</f>
        <v>0</v>
      </c>
      <c r="I64" s="85">
        <f>(I14-H14)*'3. Assumptions and Drivers'!$G$24</f>
        <v>0</v>
      </c>
      <c r="J64" s="85">
        <f>(J14-I14)*'3. Assumptions and Drivers'!$G$24</f>
        <v>750</v>
      </c>
      <c r="K64" s="85">
        <f>(K14-J14)*'3. Assumptions and Drivers'!$G$24</f>
        <v>0</v>
      </c>
      <c r="L64" s="85">
        <f>(L14-K14)*'3. Assumptions and Drivers'!$G$24</f>
        <v>0</v>
      </c>
      <c r="M64" s="85">
        <f>(M14-L14)*'3. Assumptions and Drivers'!$G$24</f>
        <v>0</v>
      </c>
      <c r="N64" s="85">
        <f>(N14-M14)*'3. Assumptions and Drivers'!$G$24</f>
        <v>0</v>
      </c>
      <c r="O64" s="85">
        <f>(O14-N14)*'3. Assumptions and Drivers'!$G$24</f>
        <v>0</v>
      </c>
      <c r="P64" s="85">
        <f t="shared" si="14"/>
        <v>750</v>
      </c>
    </row>
    <row r="65" ht="15.75" customHeight="1">
      <c r="A65" s="72" t="s">
        <v>349</v>
      </c>
      <c r="B65" s="3" t="s">
        <v>99</v>
      </c>
      <c r="C65" s="3"/>
      <c r="D65" s="85">
        <f t="shared" ref="D65:O65" si="15">SUM(D53:D64)</f>
        <v>0</v>
      </c>
      <c r="E65" s="85">
        <f t="shared" si="15"/>
        <v>17000</v>
      </c>
      <c r="F65" s="85">
        <f t="shared" si="15"/>
        <v>0</v>
      </c>
      <c r="G65" s="85">
        <f t="shared" si="15"/>
        <v>0</v>
      </c>
      <c r="H65" s="85">
        <f t="shared" si="15"/>
        <v>0</v>
      </c>
      <c r="I65" s="85">
        <f t="shared" si="15"/>
        <v>0</v>
      </c>
      <c r="J65" s="85">
        <f t="shared" si="15"/>
        <v>9250</v>
      </c>
      <c r="K65" s="85">
        <f t="shared" si="15"/>
        <v>0</v>
      </c>
      <c r="L65" s="85">
        <f t="shared" si="15"/>
        <v>0</v>
      </c>
      <c r="M65" s="85">
        <f t="shared" si="15"/>
        <v>0</v>
      </c>
      <c r="N65" s="85">
        <f t="shared" si="15"/>
        <v>0</v>
      </c>
      <c r="O65" s="85">
        <f t="shared" si="15"/>
        <v>0</v>
      </c>
      <c r="P65" s="85">
        <f t="shared" si="14"/>
        <v>26250</v>
      </c>
    </row>
    <row r="66" ht="15.75" customHeight="1">
      <c r="A66" s="3" t="s">
        <v>350</v>
      </c>
      <c r="B66" s="3" t="s">
        <v>99</v>
      </c>
      <c r="C66" s="3"/>
      <c r="D66" s="85">
        <f>(D46*'3. Assumptions and Drivers'!$G$25)*'3. Assumptions and Drivers'!$G$23</f>
        <v>500.3808333</v>
      </c>
      <c r="E66" s="85">
        <f>(E46*'3. Assumptions and Drivers'!$G$25)*'3. Assumptions and Drivers'!$G$23</f>
        <v>599.600625</v>
      </c>
      <c r="F66" s="85">
        <f>(F46*'3. Assumptions and Drivers'!$G$25)*'3. Assumptions and Drivers'!$G$23</f>
        <v>606.230625</v>
      </c>
      <c r="G66" s="85">
        <f>(G46*'3. Assumptions and Drivers'!$G$25)*'3. Assumptions and Drivers'!$G$23</f>
        <v>606.230625</v>
      </c>
      <c r="H66" s="85">
        <f>(H46*'3. Assumptions and Drivers'!$G$25)*'3. Assumptions and Drivers'!$G$23</f>
        <v>606.230625</v>
      </c>
      <c r="I66" s="85">
        <f>(I46*'3. Assumptions and Drivers'!$G$25)*'3. Assumptions and Drivers'!$G$23</f>
        <v>616.175625</v>
      </c>
      <c r="J66" s="85">
        <f>(J46*'3. Assumptions and Drivers'!$G$25)*'3. Assumptions and Drivers'!$G$23</f>
        <v>684.0870833</v>
      </c>
      <c r="K66" s="85">
        <f>(K46*'3. Assumptions and Drivers'!$G$25)*'3. Assumptions and Drivers'!$G$23</f>
        <v>684.0870833</v>
      </c>
      <c r="L66" s="85">
        <f>(L46*'3. Assumptions and Drivers'!$G$25)*'3. Assumptions and Drivers'!$G$23</f>
        <v>674.1420833</v>
      </c>
      <c r="M66" s="85">
        <f>(M46*'3. Assumptions and Drivers'!$G$25)*'3. Assumptions and Drivers'!$G$23</f>
        <v>674.1420833</v>
      </c>
      <c r="N66" s="85">
        <f>(N46*'3. Assumptions and Drivers'!$G$25)*'3. Assumptions and Drivers'!$G$23</f>
        <v>674.1420833</v>
      </c>
      <c r="O66" s="85">
        <f>(O46*'3. Assumptions and Drivers'!$G$25)*'3. Assumptions and Drivers'!$G$23</f>
        <v>674.1420833</v>
      </c>
      <c r="P66" s="85">
        <f t="shared" si="14"/>
        <v>7599.591458</v>
      </c>
    </row>
    <row r="67" ht="15.75" customHeight="1">
      <c r="A67" s="3" t="s">
        <v>351</v>
      </c>
      <c r="B67" s="3" t="s">
        <v>99</v>
      </c>
      <c r="C67" s="3"/>
      <c r="D67" s="178">
        <f t="shared" ref="D67:P67" si="16">SUM(D65:D66)</f>
        <v>500.3808333</v>
      </c>
      <c r="E67" s="178">
        <f t="shared" si="16"/>
        <v>17599.60063</v>
      </c>
      <c r="F67" s="178">
        <f t="shared" si="16"/>
        <v>606.230625</v>
      </c>
      <c r="G67" s="178">
        <f t="shared" si="16"/>
        <v>606.230625</v>
      </c>
      <c r="H67" s="178">
        <f t="shared" si="16"/>
        <v>606.230625</v>
      </c>
      <c r="I67" s="178">
        <f t="shared" si="16"/>
        <v>616.175625</v>
      </c>
      <c r="J67" s="178">
        <f t="shared" si="16"/>
        <v>9934.087083</v>
      </c>
      <c r="K67" s="178">
        <f t="shared" si="16"/>
        <v>684.0870833</v>
      </c>
      <c r="L67" s="178">
        <f t="shared" si="16"/>
        <v>674.1420833</v>
      </c>
      <c r="M67" s="178">
        <f t="shared" si="16"/>
        <v>674.1420833</v>
      </c>
      <c r="N67" s="178">
        <f t="shared" si="16"/>
        <v>674.1420833</v>
      </c>
      <c r="O67" s="178">
        <f t="shared" si="16"/>
        <v>674.1420833</v>
      </c>
      <c r="P67" s="178">
        <f t="shared" si="16"/>
        <v>33849.59146</v>
      </c>
    </row>
    <row r="68" ht="15.75" customHeight="1">
      <c r="A68" s="3"/>
      <c r="B68" s="3"/>
      <c r="C68" s="3"/>
      <c r="D68" s="3"/>
      <c r="E68" s="3"/>
      <c r="F68" s="3"/>
    </row>
    <row r="69" ht="15.75" customHeight="1">
      <c r="A69" s="3"/>
      <c r="B69" s="3"/>
      <c r="C69" s="3"/>
      <c r="D69" s="3"/>
      <c r="E69" s="3"/>
      <c r="F69" s="3"/>
    </row>
    <row r="70" ht="15.75" customHeight="1">
      <c r="A70" s="3"/>
      <c r="B70" s="3"/>
      <c r="C70" s="3"/>
      <c r="D70" s="3"/>
      <c r="E70" s="3"/>
      <c r="F70" s="3"/>
    </row>
    <row r="71" ht="15.75" customHeight="1">
      <c r="A71" s="3"/>
      <c r="B71" s="3"/>
      <c r="C71" s="3"/>
      <c r="D71" s="3"/>
      <c r="E71" s="3"/>
      <c r="F71" s="3"/>
    </row>
    <row r="72" ht="15.75" customHeight="1">
      <c r="A72" s="3"/>
      <c r="B72" s="3"/>
      <c r="C72" s="3"/>
      <c r="D72" s="3"/>
      <c r="E72" s="3"/>
      <c r="F72" s="3"/>
    </row>
    <row r="73" ht="15.75" customHeight="1">
      <c r="A73" s="3"/>
      <c r="B73" s="3"/>
      <c r="C73" s="3"/>
      <c r="D73" s="3"/>
      <c r="E73" s="3"/>
      <c r="F73" s="3"/>
    </row>
    <row r="74" ht="15.75" customHeight="1">
      <c r="A74" s="3"/>
      <c r="B74" s="3"/>
      <c r="C74" s="3"/>
      <c r="D74" s="3"/>
      <c r="E74" s="3"/>
      <c r="F74" s="3"/>
    </row>
    <row r="75" ht="15.75" customHeight="1">
      <c r="A75" s="3"/>
      <c r="B75" s="3"/>
      <c r="C75" s="3"/>
      <c r="D75" s="3"/>
      <c r="E75" s="3"/>
      <c r="F75" s="3"/>
    </row>
    <row r="76" ht="15.75" customHeight="1">
      <c r="A76" s="3"/>
      <c r="B76" s="3"/>
      <c r="C76" s="3"/>
      <c r="D76" s="3"/>
      <c r="E76" s="3"/>
      <c r="F76" s="3"/>
    </row>
    <row r="77" ht="15.75" customHeight="1">
      <c r="A77" s="3"/>
      <c r="B77" s="3"/>
      <c r="C77" s="3"/>
      <c r="D77" s="3"/>
      <c r="E77" s="3"/>
      <c r="F77" s="3"/>
    </row>
    <row r="78" ht="15.75" customHeight="1">
      <c r="A78" s="3"/>
      <c r="B78" s="3"/>
      <c r="C78" s="3"/>
      <c r="D78" s="3"/>
      <c r="E78" s="3"/>
      <c r="F78" s="3"/>
    </row>
    <row r="79" ht="15.75" customHeight="1">
      <c r="A79" s="3"/>
      <c r="B79" s="3"/>
      <c r="C79" s="3"/>
      <c r="D79" s="3"/>
      <c r="E79" s="3"/>
      <c r="F79" s="3"/>
    </row>
    <row r="80" ht="15.75" customHeight="1">
      <c r="A80" s="3"/>
      <c r="B80" s="3"/>
      <c r="C80" s="3"/>
      <c r="D80" s="3"/>
      <c r="E80" s="3"/>
      <c r="F80" s="3"/>
    </row>
    <row r="81" ht="15.75" customHeight="1">
      <c r="A81" s="3"/>
      <c r="B81" s="3"/>
      <c r="C81" s="3"/>
      <c r="D81" s="3"/>
      <c r="E81" s="3"/>
      <c r="F81" s="3"/>
    </row>
    <row r="82" ht="15.75" customHeight="1">
      <c r="A82" s="3"/>
      <c r="B82" s="3"/>
      <c r="C82" s="3"/>
      <c r="D82" s="3"/>
      <c r="E82" s="3"/>
      <c r="F82" s="3"/>
    </row>
    <row r="83" ht="15.75" customHeight="1">
      <c r="A83" s="3"/>
      <c r="B83" s="3"/>
      <c r="C83" s="3"/>
      <c r="D83" s="3"/>
      <c r="E83" s="3"/>
      <c r="F83" s="3"/>
    </row>
    <row r="84" ht="15.75" customHeight="1">
      <c r="A84" s="3"/>
      <c r="B84" s="3"/>
      <c r="C84" s="3"/>
      <c r="D84" s="3"/>
      <c r="E84" s="3"/>
      <c r="F84" s="3"/>
    </row>
    <row r="85" ht="15.75" customHeight="1">
      <c r="A85" s="3"/>
      <c r="B85" s="3"/>
      <c r="C85" s="3"/>
      <c r="D85" s="3"/>
      <c r="E85" s="3"/>
      <c r="F85" s="3"/>
    </row>
    <row r="86" ht="15.75" customHeight="1">
      <c r="A86" s="3"/>
      <c r="B86" s="3"/>
      <c r="C86" s="3"/>
      <c r="D86" s="3"/>
      <c r="E86" s="3"/>
      <c r="F86" s="3"/>
    </row>
    <row r="87" ht="15.75" customHeight="1">
      <c r="A87" s="3"/>
      <c r="B87" s="3"/>
      <c r="C87" s="3"/>
      <c r="D87" s="3"/>
      <c r="E87" s="3"/>
      <c r="F87" s="3"/>
    </row>
    <row r="88" ht="15.75" customHeight="1">
      <c r="A88" s="3"/>
      <c r="B88" s="3"/>
      <c r="C88" s="3"/>
      <c r="D88" s="3"/>
      <c r="E88" s="3"/>
      <c r="F88" s="3"/>
    </row>
    <row r="89" ht="15.75" customHeight="1">
      <c r="A89" s="3"/>
      <c r="B89" s="3"/>
      <c r="C89" s="3"/>
      <c r="D89" s="3"/>
      <c r="E89" s="3"/>
      <c r="F89" s="3"/>
    </row>
    <row r="90" ht="15.75" customHeight="1">
      <c r="A90" s="3"/>
      <c r="B90" s="3"/>
      <c r="C90" s="3"/>
      <c r="D90" s="3"/>
      <c r="E90" s="3"/>
      <c r="F90" s="3"/>
    </row>
    <row r="91" ht="15.75" customHeight="1">
      <c r="A91" s="3"/>
      <c r="B91" s="3"/>
      <c r="C91" s="3"/>
      <c r="D91" s="3"/>
      <c r="E91" s="3"/>
      <c r="F91" s="3"/>
    </row>
    <row r="92" ht="15.75" customHeight="1">
      <c r="A92" s="3"/>
      <c r="B92" s="3"/>
      <c r="C92" s="3"/>
      <c r="D92" s="3"/>
      <c r="E92" s="3"/>
      <c r="F92" s="3"/>
    </row>
    <row r="93" ht="15.75" customHeight="1">
      <c r="A93" s="3"/>
      <c r="B93" s="3"/>
      <c r="C93" s="3"/>
      <c r="D93" s="3"/>
      <c r="E93" s="3"/>
      <c r="F93" s="3"/>
    </row>
    <row r="94" ht="15.75" customHeight="1">
      <c r="A94" s="3"/>
      <c r="B94" s="3"/>
      <c r="C94" s="3"/>
      <c r="D94" s="3"/>
      <c r="E94" s="3"/>
      <c r="F94" s="3"/>
    </row>
    <row r="95" ht="15.75" customHeight="1">
      <c r="A95" s="3"/>
      <c r="B95" s="3"/>
      <c r="C95" s="3"/>
      <c r="D95" s="3"/>
      <c r="E95" s="3"/>
      <c r="F95" s="3"/>
    </row>
    <row r="96" ht="15.75" customHeight="1">
      <c r="A96" s="3"/>
      <c r="B96" s="3"/>
      <c r="C96" s="3"/>
      <c r="D96" s="3"/>
      <c r="E96" s="3"/>
      <c r="F96" s="3"/>
    </row>
    <row r="97" ht="15.75" customHeight="1">
      <c r="A97" s="3"/>
      <c r="B97" s="3"/>
      <c r="C97" s="3"/>
      <c r="D97" s="3"/>
      <c r="E97" s="3"/>
      <c r="F97" s="3"/>
    </row>
    <row r="98" ht="15.75" customHeight="1">
      <c r="A98" s="3"/>
      <c r="B98" s="3"/>
      <c r="C98" s="3"/>
      <c r="D98" s="3"/>
      <c r="E98" s="3"/>
      <c r="F98" s="3"/>
    </row>
    <row r="99" ht="15.75" customHeight="1">
      <c r="A99" s="3"/>
      <c r="B99" s="3"/>
      <c r="C99" s="3"/>
      <c r="D99" s="3"/>
      <c r="E99" s="3"/>
      <c r="F99" s="3"/>
    </row>
    <row r="100" ht="15.75" customHeight="1">
      <c r="A100" s="3"/>
      <c r="B100" s="3"/>
      <c r="C100" s="3"/>
      <c r="D100" s="3"/>
      <c r="E100" s="3"/>
      <c r="F100" s="3"/>
    </row>
    <row r="101" ht="15.75" customHeight="1">
      <c r="A101" s="3"/>
      <c r="B101" s="3"/>
      <c r="C101" s="3"/>
      <c r="D101" s="3"/>
      <c r="E101" s="3"/>
      <c r="F101" s="3"/>
    </row>
    <row r="102" ht="15.75" customHeight="1">
      <c r="A102" s="3"/>
      <c r="B102" s="3"/>
      <c r="C102" s="3"/>
      <c r="D102" s="3"/>
      <c r="E102" s="3"/>
      <c r="F102" s="3"/>
    </row>
    <row r="103" ht="15.75" customHeight="1">
      <c r="A103" s="3"/>
      <c r="B103" s="3"/>
      <c r="C103" s="3"/>
      <c r="D103" s="3"/>
      <c r="E103" s="3"/>
      <c r="F103" s="3"/>
    </row>
    <row r="104" ht="15.75" customHeight="1">
      <c r="A104" s="3"/>
      <c r="B104" s="3"/>
      <c r="C104" s="3"/>
      <c r="D104" s="3"/>
      <c r="E104" s="3"/>
      <c r="F104" s="3"/>
    </row>
    <row r="105" ht="15.75" customHeight="1">
      <c r="A105" s="3"/>
      <c r="B105" s="3"/>
      <c r="C105" s="3"/>
      <c r="D105" s="3"/>
      <c r="E105" s="3"/>
      <c r="F105" s="3"/>
    </row>
    <row r="106" ht="15.75" customHeight="1">
      <c r="A106" s="3"/>
      <c r="B106" s="3"/>
      <c r="C106" s="3"/>
      <c r="D106" s="3"/>
      <c r="E106" s="3"/>
      <c r="F106" s="3"/>
    </row>
    <row r="107" ht="15.75" customHeight="1">
      <c r="A107" s="3"/>
      <c r="B107" s="3"/>
      <c r="C107" s="3"/>
      <c r="D107" s="3"/>
      <c r="E107" s="3"/>
      <c r="F107" s="3"/>
    </row>
    <row r="108" ht="15.75" customHeight="1">
      <c r="A108" s="3"/>
      <c r="B108" s="3"/>
      <c r="C108" s="3"/>
      <c r="D108" s="3"/>
      <c r="E108" s="3"/>
      <c r="F108" s="3"/>
    </row>
    <row r="109" ht="15.75" customHeight="1">
      <c r="A109" s="3"/>
      <c r="B109" s="3"/>
      <c r="C109" s="3"/>
      <c r="D109" s="3"/>
      <c r="E109" s="3"/>
      <c r="F109" s="3"/>
    </row>
    <row r="110" ht="15.75" customHeight="1">
      <c r="A110" s="3"/>
      <c r="B110" s="3"/>
      <c r="C110" s="3"/>
      <c r="D110" s="3"/>
      <c r="E110" s="3"/>
      <c r="F110" s="3"/>
    </row>
    <row r="111" ht="15.75" customHeight="1">
      <c r="A111" s="3"/>
      <c r="B111" s="3"/>
      <c r="C111" s="3"/>
      <c r="D111" s="3"/>
      <c r="E111" s="3"/>
      <c r="F111" s="3"/>
    </row>
    <row r="112" ht="15.75" customHeight="1">
      <c r="A112" s="3"/>
      <c r="B112" s="3"/>
      <c r="C112" s="3"/>
      <c r="D112" s="3"/>
      <c r="E112" s="3"/>
      <c r="F112" s="3"/>
    </row>
    <row r="113" ht="15.75" customHeight="1">
      <c r="A113" s="3"/>
      <c r="B113" s="3"/>
      <c r="C113" s="3"/>
      <c r="D113" s="3"/>
      <c r="E113" s="3"/>
      <c r="F113" s="3"/>
    </row>
    <row r="114" ht="15.75" customHeight="1">
      <c r="A114" s="3"/>
      <c r="B114" s="3"/>
      <c r="C114" s="3"/>
      <c r="D114" s="3"/>
      <c r="E114" s="3"/>
      <c r="F114" s="3"/>
    </row>
    <row r="115" ht="15.75" customHeight="1">
      <c r="A115" s="3"/>
      <c r="B115" s="3"/>
      <c r="C115" s="3"/>
      <c r="D115" s="3"/>
      <c r="E115" s="3"/>
      <c r="F115" s="3"/>
    </row>
    <row r="116" ht="15.75" customHeight="1">
      <c r="A116" s="3"/>
      <c r="B116" s="3"/>
      <c r="C116" s="3"/>
      <c r="D116" s="3"/>
      <c r="E116" s="3"/>
      <c r="F116" s="3"/>
    </row>
    <row r="117" ht="15.75" customHeight="1">
      <c r="A117" s="3"/>
      <c r="B117" s="3"/>
      <c r="C117" s="3"/>
      <c r="D117" s="3"/>
      <c r="E117" s="3"/>
      <c r="F117" s="3"/>
    </row>
    <row r="118" ht="15.75" customHeight="1">
      <c r="A118" s="3"/>
      <c r="B118" s="3"/>
      <c r="C118" s="3"/>
      <c r="D118" s="3"/>
      <c r="E118" s="3"/>
      <c r="F118" s="3"/>
    </row>
    <row r="119" ht="15.75" customHeight="1">
      <c r="A119" s="3"/>
      <c r="B119" s="3"/>
      <c r="C119" s="3"/>
      <c r="D119" s="3"/>
      <c r="E119" s="3"/>
      <c r="F119" s="3"/>
    </row>
    <row r="120" ht="15.75" customHeight="1">
      <c r="A120" s="3"/>
      <c r="B120" s="3"/>
      <c r="C120" s="3"/>
      <c r="D120" s="3"/>
      <c r="E120" s="3"/>
      <c r="F120" s="3"/>
    </row>
    <row r="121" ht="15.75" customHeight="1">
      <c r="A121" s="3"/>
      <c r="B121" s="3"/>
      <c r="C121" s="3"/>
      <c r="D121" s="3"/>
      <c r="E121" s="3"/>
      <c r="F121" s="3"/>
    </row>
    <row r="122" ht="15.75" customHeight="1">
      <c r="A122" s="3"/>
      <c r="B122" s="3"/>
      <c r="C122" s="3"/>
      <c r="D122" s="3"/>
      <c r="E122" s="3"/>
      <c r="F122" s="3"/>
    </row>
    <row r="123" ht="15.75" customHeight="1">
      <c r="A123" s="3"/>
      <c r="B123" s="3"/>
      <c r="C123" s="3"/>
      <c r="D123" s="3"/>
      <c r="E123" s="3"/>
      <c r="F123" s="3"/>
    </row>
    <row r="124" ht="15.75" customHeight="1">
      <c r="A124" s="3"/>
      <c r="B124" s="3"/>
      <c r="C124" s="3"/>
      <c r="D124" s="3"/>
      <c r="E124" s="3"/>
      <c r="F124" s="3"/>
    </row>
    <row r="125" ht="15.75" customHeight="1">
      <c r="A125" s="3"/>
      <c r="B125" s="3"/>
      <c r="C125" s="3"/>
      <c r="D125" s="3"/>
      <c r="E125" s="3"/>
      <c r="F125" s="3"/>
    </row>
    <row r="126" ht="15.75" customHeight="1">
      <c r="A126" s="3"/>
      <c r="B126" s="3"/>
      <c r="C126" s="3"/>
      <c r="D126" s="3"/>
      <c r="E126" s="3"/>
      <c r="F126" s="3"/>
    </row>
    <row r="127" ht="15.75" customHeight="1">
      <c r="A127" s="3"/>
      <c r="B127" s="3"/>
      <c r="C127" s="3"/>
      <c r="D127" s="3"/>
      <c r="E127" s="3"/>
      <c r="F127" s="3"/>
    </row>
    <row r="128" ht="15.75" customHeight="1">
      <c r="A128" s="3"/>
      <c r="B128" s="3"/>
      <c r="C128" s="3"/>
      <c r="D128" s="3"/>
      <c r="E128" s="3"/>
      <c r="F128" s="3"/>
    </row>
    <row r="129" ht="15.75" customHeight="1">
      <c r="A129" s="3"/>
      <c r="B129" s="3"/>
      <c r="C129" s="3"/>
      <c r="D129" s="3"/>
      <c r="E129" s="3"/>
      <c r="F129" s="3"/>
    </row>
    <row r="130" ht="15.75" customHeight="1">
      <c r="A130" s="3"/>
      <c r="B130" s="3"/>
      <c r="C130" s="3"/>
      <c r="D130" s="3"/>
      <c r="E130" s="3"/>
      <c r="F130" s="3"/>
    </row>
    <row r="131" ht="15.75" customHeight="1">
      <c r="A131" s="3"/>
      <c r="B131" s="3"/>
      <c r="C131" s="3"/>
      <c r="D131" s="3"/>
      <c r="E131" s="3"/>
      <c r="F131" s="3"/>
    </row>
    <row r="132" ht="15.75" customHeight="1">
      <c r="A132" s="3"/>
      <c r="B132" s="3"/>
      <c r="C132" s="3"/>
      <c r="D132" s="3"/>
      <c r="E132" s="3"/>
      <c r="F132" s="3"/>
    </row>
    <row r="133" ht="15.75" customHeight="1">
      <c r="A133" s="3"/>
      <c r="B133" s="3"/>
      <c r="C133" s="3"/>
      <c r="D133" s="3"/>
      <c r="E133" s="3"/>
      <c r="F133" s="3"/>
    </row>
    <row r="134" ht="15.75" customHeight="1">
      <c r="A134" s="3"/>
      <c r="B134" s="3"/>
      <c r="C134" s="3"/>
      <c r="D134" s="3"/>
      <c r="E134" s="3"/>
      <c r="F134" s="3"/>
    </row>
    <row r="135" ht="15.75" customHeight="1">
      <c r="A135" s="3"/>
      <c r="B135" s="3"/>
      <c r="C135" s="3"/>
      <c r="D135" s="3"/>
      <c r="E135" s="3"/>
      <c r="F135" s="3"/>
    </row>
    <row r="136" ht="15.75" customHeight="1">
      <c r="A136" s="3"/>
      <c r="B136" s="3"/>
      <c r="C136" s="3"/>
      <c r="D136" s="3"/>
      <c r="E136" s="3"/>
      <c r="F136" s="3"/>
    </row>
    <row r="137" ht="15.75" customHeight="1">
      <c r="A137" s="3"/>
      <c r="B137" s="3"/>
      <c r="C137" s="3"/>
      <c r="D137" s="3"/>
      <c r="E137" s="3"/>
      <c r="F137" s="3"/>
    </row>
    <row r="138" ht="15.75" customHeight="1">
      <c r="A138" s="3"/>
      <c r="B138" s="3"/>
      <c r="C138" s="3"/>
      <c r="D138" s="3"/>
      <c r="E138" s="3"/>
      <c r="F138" s="3"/>
    </row>
    <row r="139" ht="15.75" customHeight="1">
      <c r="A139" s="3"/>
      <c r="B139" s="3"/>
      <c r="C139" s="3"/>
      <c r="D139" s="3"/>
      <c r="E139" s="3"/>
      <c r="F139" s="3"/>
    </row>
    <row r="140" ht="15.75" customHeight="1">
      <c r="A140" s="3"/>
      <c r="B140" s="3"/>
      <c r="C140" s="3"/>
      <c r="D140" s="3"/>
      <c r="E140" s="3"/>
      <c r="F140" s="3"/>
    </row>
    <row r="141" ht="15.75" customHeight="1">
      <c r="A141" s="3"/>
      <c r="B141" s="3"/>
      <c r="C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6B53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8.38"/>
    <col customWidth="1" min="2" max="6" width="12.63"/>
    <col customWidth="1" min="14" max="14" width="12.5"/>
  </cols>
  <sheetData>
    <row r="1" ht="15.75" customHeight="1">
      <c r="A1" s="69" t="s">
        <v>80</v>
      </c>
      <c r="B1" s="179" t="s">
        <v>57</v>
      </c>
      <c r="C1" s="179" t="s">
        <v>59</v>
      </c>
      <c r="D1" s="179" t="s">
        <v>61</v>
      </c>
      <c r="E1" s="179" t="s">
        <v>63</v>
      </c>
      <c r="F1" s="179" t="s">
        <v>65</v>
      </c>
      <c r="G1" s="179" t="s">
        <v>67</v>
      </c>
      <c r="H1" s="179" t="s">
        <v>69</v>
      </c>
      <c r="I1" s="179" t="s">
        <v>71</v>
      </c>
      <c r="J1" s="179" t="s">
        <v>73</v>
      </c>
      <c r="K1" s="179" t="s">
        <v>75</v>
      </c>
      <c r="L1" s="179" t="s">
        <v>77</v>
      </c>
      <c r="M1" s="179" t="s">
        <v>79</v>
      </c>
      <c r="N1" s="179" t="s">
        <v>269</v>
      </c>
      <c r="O1" s="69"/>
      <c r="P1" s="69"/>
      <c r="Q1" s="69"/>
      <c r="R1" s="69"/>
      <c r="S1" s="69"/>
      <c r="T1" s="69"/>
      <c r="U1" s="69"/>
      <c r="V1" s="69"/>
      <c r="W1" s="69"/>
      <c r="X1" s="69"/>
    </row>
    <row r="2" ht="15.75" customHeight="1">
      <c r="A2" s="122" t="s">
        <v>352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ht="15.75" customHeight="1">
      <c r="A3" s="72" t="s">
        <v>353</v>
      </c>
      <c r="B3" s="77">
        <f>'5. Payroll and Headcount'!D48</f>
        <v>35122.91667</v>
      </c>
      <c r="C3" s="77">
        <f>'5. Payroll and Headcount'!E48</f>
        <v>45664.58333</v>
      </c>
      <c r="D3" s="77">
        <f>'5. Payroll and Headcount'!F48</f>
        <v>45664.58333</v>
      </c>
      <c r="E3" s="77">
        <f>'5. Payroll and Headcount'!G48</f>
        <v>45664.58333</v>
      </c>
      <c r="F3" s="77">
        <f>'5. Payroll and Headcount'!H48</f>
        <v>45664.58333</v>
      </c>
      <c r="G3" s="77">
        <f>'5. Payroll and Headcount'!I48</f>
        <v>45664.58333</v>
      </c>
      <c r="H3" s="77">
        <f>'5. Payroll and Headcount'!J48</f>
        <v>59800</v>
      </c>
      <c r="I3" s="77">
        <f>'5. Payroll and Headcount'!K48</f>
        <v>59800</v>
      </c>
      <c r="J3" s="77">
        <f>'5. Payroll and Headcount'!L48</f>
        <v>59800</v>
      </c>
      <c r="K3" s="77">
        <f>'5. Payroll and Headcount'!M48</f>
        <v>59800</v>
      </c>
      <c r="L3" s="77">
        <f>'5. Payroll and Headcount'!N48</f>
        <v>59800</v>
      </c>
      <c r="M3" s="77">
        <f>'5. Payroll and Headcount'!O48</f>
        <v>59800</v>
      </c>
      <c r="N3" s="77">
        <f t="shared" ref="N3:N12" si="1">SUM(B3:M3)</f>
        <v>622245.8333</v>
      </c>
    </row>
    <row r="4" ht="15.75" customHeight="1">
      <c r="A4" s="72" t="s">
        <v>354</v>
      </c>
      <c r="B4" s="77">
        <f>'5. Payroll and Headcount'!D49</f>
        <v>69028.75</v>
      </c>
      <c r="C4" s="77">
        <f>'5. Payroll and Headcount'!E49</f>
        <v>79139.16667</v>
      </c>
      <c r="D4" s="77">
        <f>'5. Payroll and Headcount'!F49</f>
        <v>80519.16667</v>
      </c>
      <c r="E4" s="77">
        <f>'5. Payroll and Headcount'!G49</f>
        <v>80519.16667</v>
      </c>
      <c r="F4" s="77">
        <f>'5. Payroll and Headcount'!H49</f>
        <v>80519.16667</v>
      </c>
      <c r="G4" s="77">
        <f>'5. Payroll and Headcount'!I49</f>
        <v>82589.16667</v>
      </c>
      <c r="H4" s="77">
        <f>'5. Payroll and Headcount'!J49</f>
        <v>82589.16667</v>
      </c>
      <c r="I4" s="77">
        <f>'5. Payroll and Headcount'!K49</f>
        <v>82589.16667</v>
      </c>
      <c r="J4" s="77">
        <f>'5. Payroll and Headcount'!L49</f>
        <v>80519.16667</v>
      </c>
      <c r="K4" s="77">
        <f>'5. Payroll and Headcount'!M49</f>
        <v>80519.16667</v>
      </c>
      <c r="L4" s="77">
        <f>'5. Payroll and Headcount'!N49</f>
        <v>80519.16667</v>
      </c>
      <c r="M4" s="77">
        <f>'5. Payroll and Headcount'!O49</f>
        <v>80519.16667</v>
      </c>
      <c r="N4" s="77">
        <f t="shared" si="1"/>
        <v>959569.5833</v>
      </c>
    </row>
    <row r="5" ht="15.75" customHeight="1">
      <c r="A5" s="72" t="s">
        <v>355</v>
      </c>
      <c r="B5" s="77">
        <f>'5. Payroll and Headcount'!D50</f>
        <v>104151.6667</v>
      </c>
      <c r="C5" s="77">
        <f>'5. Payroll and Headcount'!E50</f>
        <v>124803.75</v>
      </c>
      <c r="D5" s="77">
        <f>'5. Payroll and Headcount'!F50</f>
        <v>126183.75</v>
      </c>
      <c r="E5" s="77">
        <f>'5. Payroll and Headcount'!G50</f>
        <v>126183.75</v>
      </c>
      <c r="F5" s="77">
        <f>'5. Payroll and Headcount'!H50</f>
        <v>126183.75</v>
      </c>
      <c r="G5" s="77">
        <f>'5. Payroll and Headcount'!I50</f>
        <v>128253.75</v>
      </c>
      <c r="H5" s="77">
        <f>'5. Payroll and Headcount'!J50</f>
        <v>142389.1667</v>
      </c>
      <c r="I5" s="77">
        <f>'5. Payroll and Headcount'!K50</f>
        <v>142389.1667</v>
      </c>
      <c r="J5" s="77">
        <f>'5. Payroll and Headcount'!L50</f>
        <v>140319.1667</v>
      </c>
      <c r="K5" s="77">
        <f>'5. Payroll and Headcount'!M50</f>
        <v>140319.1667</v>
      </c>
      <c r="L5" s="77">
        <f>'5. Payroll and Headcount'!N50</f>
        <v>140319.1667</v>
      </c>
      <c r="M5" s="77">
        <f>'5. Payroll and Headcount'!O50</f>
        <v>140319.1667</v>
      </c>
      <c r="N5" s="77">
        <f t="shared" si="1"/>
        <v>1581815.417</v>
      </c>
    </row>
    <row r="6" ht="15.75" customHeight="1">
      <c r="A6" s="72" t="s">
        <v>356</v>
      </c>
      <c r="B6" s="77">
        <f>SUM('3. Assumptions and Drivers'!$C$47:$C$48)*'5. Payroll and Headcount'!D15</f>
        <v>2125</v>
      </c>
      <c r="C6" s="77">
        <f>SUM('3. Assumptions and Drivers'!$C$47:$C$48)*'5. Payroll and Headcount'!E15</f>
        <v>2625</v>
      </c>
      <c r="D6" s="77">
        <f>SUM('3. Assumptions and Drivers'!$C$47:$C$48)*'5. Payroll and Headcount'!F15</f>
        <v>2625</v>
      </c>
      <c r="E6" s="77">
        <f>SUM('3. Assumptions and Drivers'!$C$47:$C$48)*'5. Payroll and Headcount'!G15</f>
        <v>2625</v>
      </c>
      <c r="F6" s="77">
        <f>SUM('3. Assumptions and Drivers'!$C$47:$C$48)*'5. Payroll and Headcount'!H15</f>
        <v>2625</v>
      </c>
      <c r="G6" s="77">
        <f>SUM('3. Assumptions and Drivers'!$C$47:$C$48)*'5. Payroll and Headcount'!I15</f>
        <v>2625</v>
      </c>
      <c r="H6" s="77">
        <f>SUM('3. Assumptions and Drivers'!$C$47:$C$48)*'5. Payroll and Headcount'!J15</f>
        <v>3000</v>
      </c>
      <c r="I6" s="77">
        <f>SUM('3. Assumptions and Drivers'!$C$47:$C$48)*'5. Payroll and Headcount'!K15</f>
        <v>3000</v>
      </c>
      <c r="J6" s="77">
        <f>SUM('3. Assumptions and Drivers'!$C$47:$C$48)*'5. Payroll and Headcount'!L15</f>
        <v>3000</v>
      </c>
      <c r="K6" s="77">
        <f>SUM('3. Assumptions and Drivers'!$C$47:$C$48)*'5. Payroll and Headcount'!M15</f>
        <v>3000</v>
      </c>
      <c r="L6" s="77">
        <f>SUM('3. Assumptions and Drivers'!$C$47:$C$48)*'5. Payroll and Headcount'!N15</f>
        <v>3000</v>
      </c>
      <c r="M6" s="77">
        <f>SUM('3. Assumptions and Drivers'!$C$47:$C$48)*'5. Payroll and Headcount'!O15</f>
        <v>3000</v>
      </c>
      <c r="N6" s="77">
        <f t="shared" si="1"/>
        <v>33250</v>
      </c>
    </row>
    <row r="7" ht="15.75" customHeight="1">
      <c r="A7" s="72" t="s">
        <v>347</v>
      </c>
      <c r="B7" s="159">
        <f>'5. Payroll and Headcount'!D67</f>
        <v>500.3808333</v>
      </c>
      <c r="C7" s="159">
        <f>'5. Payroll and Headcount'!E67</f>
        <v>17599.60063</v>
      </c>
      <c r="D7" s="159">
        <f>'5. Payroll and Headcount'!F67</f>
        <v>606.230625</v>
      </c>
      <c r="E7" s="159">
        <f>'5. Payroll and Headcount'!G67</f>
        <v>606.230625</v>
      </c>
      <c r="F7" s="159">
        <f>'5. Payroll and Headcount'!H67</f>
        <v>606.230625</v>
      </c>
      <c r="G7" s="159">
        <f>'5. Payroll and Headcount'!I67</f>
        <v>616.175625</v>
      </c>
      <c r="H7" s="159">
        <f>'5. Payroll and Headcount'!J67</f>
        <v>9934.087083</v>
      </c>
      <c r="I7" s="159">
        <f>'5. Payroll and Headcount'!K67</f>
        <v>684.0870833</v>
      </c>
      <c r="J7" s="159">
        <f>'5. Payroll and Headcount'!L67</f>
        <v>674.1420833</v>
      </c>
      <c r="K7" s="159">
        <f>'5. Payroll and Headcount'!M67</f>
        <v>674.1420833</v>
      </c>
      <c r="L7" s="159">
        <f>'5. Payroll and Headcount'!N67</f>
        <v>674.1420833</v>
      </c>
      <c r="M7" s="159">
        <f>'5. Payroll and Headcount'!O67</f>
        <v>674.1420833</v>
      </c>
      <c r="N7" s="77">
        <f t="shared" si="1"/>
        <v>33849.59146</v>
      </c>
    </row>
    <row r="8" ht="15.75" customHeight="1">
      <c r="A8" s="72" t="s">
        <v>357</v>
      </c>
      <c r="B8" s="159">
        <f>'4. Revenue and Volume '!D6*'3. Assumptions and Drivers'!$K$5</f>
        <v>13274.1</v>
      </c>
      <c r="C8" s="159">
        <f>'4. Revenue and Volume '!E6*'3. Assumptions and Drivers'!$K$5</f>
        <v>13813.2</v>
      </c>
      <c r="D8" s="159">
        <f>'4. Revenue and Volume '!F6*'3. Assumptions and Drivers'!$K$5</f>
        <v>14622.3</v>
      </c>
      <c r="E8" s="159">
        <f>'4. Revenue and Volume '!G6*'3. Assumptions and Drivers'!$K$5</f>
        <v>15431.4</v>
      </c>
      <c r="F8" s="159">
        <f>'4. Revenue and Volume '!H6*'3. Assumptions and Drivers'!$K$5</f>
        <v>16240.5</v>
      </c>
      <c r="G8" s="159">
        <f>'4. Revenue and Volume '!I6*'3. Assumptions and Drivers'!$K$5</f>
        <v>17454.6</v>
      </c>
      <c r="H8" s="159">
        <f>'4. Revenue and Volume '!J6*'3. Assumptions and Drivers'!$K$5</f>
        <v>18668.7</v>
      </c>
      <c r="I8" s="159">
        <f>'4. Revenue and Volume '!K6*'3. Assumptions and Drivers'!$K$5</f>
        <v>19882.8</v>
      </c>
      <c r="J8" s="159">
        <f>'4. Revenue and Volume '!L6*'3. Assumptions and Drivers'!$K$5</f>
        <v>20691.9</v>
      </c>
      <c r="K8" s="159">
        <f>'4. Revenue and Volume '!M6*'3. Assumptions and Drivers'!$K$5</f>
        <v>21501</v>
      </c>
      <c r="L8" s="159">
        <f>'4. Revenue and Volume '!N6*'3. Assumptions and Drivers'!$K$5</f>
        <v>22310.1</v>
      </c>
      <c r="M8" s="159">
        <f>'4. Revenue and Volume '!O6*'3. Assumptions and Drivers'!$K$5</f>
        <v>23119.2</v>
      </c>
      <c r="N8" s="77">
        <f t="shared" si="1"/>
        <v>217009.8</v>
      </c>
    </row>
    <row r="9" ht="15.75" customHeight="1">
      <c r="A9" s="72" t="s">
        <v>358</v>
      </c>
      <c r="B9" s="159">
        <f>'4. Revenue and Volume '!D4*'3. Assumptions and Drivers'!$K$6</f>
        <v>960</v>
      </c>
      <c r="C9" s="159">
        <f>'4. Revenue and Volume '!E4*'3. Assumptions and Drivers'!$K$6</f>
        <v>960</v>
      </c>
      <c r="D9" s="159">
        <f>'4. Revenue and Volume '!F4*'3. Assumptions and Drivers'!$K$6</f>
        <v>1440</v>
      </c>
      <c r="E9" s="159">
        <f>'4. Revenue and Volume '!G4*'3. Assumptions and Drivers'!$K$6</f>
        <v>1440</v>
      </c>
      <c r="F9" s="159">
        <f>'4. Revenue and Volume '!H4*'3. Assumptions and Drivers'!$K$6</f>
        <v>1440</v>
      </c>
      <c r="G9" s="159">
        <f>'4. Revenue and Volume '!I4*'3. Assumptions and Drivers'!$K$6</f>
        <v>2160</v>
      </c>
      <c r="H9" s="159">
        <f>'4. Revenue and Volume '!J4*'3. Assumptions and Drivers'!$K$6</f>
        <v>2160</v>
      </c>
      <c r="I9" s="159">
        <f>'4. Revenue and Volume '!K4*'3. Assumptions and Drivers'!$K$6</f>
        <v>2160</v>
      </c>
      <c r="J9" s="159">
        <f>'4. Revenue and Volume '!L4*'3. Assumptions and Drivers'!$K$6</f>
        <v>1440</v>
      </c>
      <c r="K9" s="159">
        <f>'4. Revenue and Volume '!M4*'3. Assumptions and Drivers'!$K$6</f>
        <v>1440</v>
      </c>
      <c r="L9" s="159">
        <f>'4. Revenue and Volume '!N4*'3. Assumptions and Drivers'!$K$6</f>
        <v>1440</v>
      </c>
      <c r="M9" s="159">
        <f>'4. Revenue and Volume '!O4*'3. Assumptions and Drivers'!$K$6</f>
        <v>1440</v>
      </c>
      <c r="N9" s="77">
        <f t="shared" si="1"/>
        <v>18480</v>
      </c>
    </row>
    <row r="10" ht="15.75" customHeight="1">
      <c r="A10" s="72" t="s">
        <v>359</v>
      </c>
      <c r="B10" s="77">
        <f>'4. Revenue and Volume '!D32*'3. Assumptions and Drivers'!$K$7</f>
        <v>6818.61648</v>
      </c>
      <c r="C10" s="77">
        <f>'4. Revenue and Volume '!E32*'3. Assumptions and Drivers'!$K$7</f>
        <v>6818.61648</v>
      </c>
      <c r="D10" s="77">
        <f>'4. Revenue and Volume '!F32*'3. Assumptions and Drivers'!$K$7</f>
        <v>8097.10707</v>
      </c>
      <c r="E10" s="77">
        <f>'4. Revenue and Volume '!G32*'3. Assumptions and Drivers'!$K$7</f>
        <v>9097.97187</v>
      </c>
      <c r="F10" s="77">
        <f>'4. Revenue and Volume '!H32*'3. Assumptions and Drivers'!$K$7</f>
        <v>8097.10707</v>
      </c>
      <c r="G10" s="77">
        <f>'4. Revenue and Volume '!I32*'3. Assumptions and Drivers'!$K$7</f>
        <v>10014.84296</v>
      </c>
      <c r="H10" s="77">
        <f>'4. Revenue and Volume '!J32*'3. Assumptions and Drivers'!$K$7</f>
        <v>11574.87296</v>
      </c>
      <c r="I10" s="77">
        <f>'4. Revenue and Volume '!K32*'3. Assumptions and Drivers'!$K$7</f>
        <v>11574.87296</v>
      </c>
      <c r="J10" s="77">
        <f>'4. Revenue and Volume '!L32*'3. Assumptions and Drivers'!$K$7</f>
        <v>8097.10707</v>
      </c>
      <c r="K10" s="77">
        <f>'4. Revenue and Volume '!M32*'3. Assumptions and Drivers'!$K$7</f>
        <v>8097.10707</v>
      </c>
      <c r="L10" s="77">
        <f>'4. Revenue and Volume '!N32*'3. Assumptions and Drivers'!$K$7</f>
        <v>8097.10707</v>
      </c>
      <c r="M10" s="77">
        <f>'4. Revenue and Volume '!O32*'3. Assumptions and Drivers'!$K$7</f>
        <v>8245.64481</v>
      </c>
      <c r="N10" s="77">
        <f t="shared" si="1"/>
        <v>104630.9739</v>
      </c>
    </row>
    <row r="11" ht="15.75" customHeight="1">
      <c r="A11" s="137" t="s">
        <v>360</v>
      </c>
      <c r="B11" s="159">
        <f>'3. Assumptions and Drivers'!$K$12/12+'3. Assumptions and Drivers'!$K$13*'5. Payroll and Headcount'!D10</f>
        <v>1066.666667</v>
      </c>
      <c r="C11" s="159">
        <f>'3. Assumptions and Drivers'!$K$12/12+'3. Assumptions and Drivers'!$K$13*'5. Payroll and Headcount'!E10</f>
        <v>1266.666667</v>
      </c>
      <c r="D11" s="159">
        <f>'3. Assumptions and Drivers'!$K$12/12+'3. Assumptions and Drivers'!$K$13*'5. Payroll and Headcount'!F10</f>
        <v>1266.666667</v>
      </c>
      <c r="E11" s="159">
        <f>'3. Assumptions and Drivers'!$K$12/12+'3. Assumptions and Drivers'!$K$13*'5. Payroll and Headcount'!G10</f>
        <v>1266.666667</v>
      </c>
      <c r="F11" s="159">
        <f>'3. Assumptions and Drivers'!$K$12/12+'3. Assumptions and Drivers'!$K$13*'5. Payroll and Headcount'!H10</f>
        <v>1266.666667</v>
      </c>
      <c r="G11" s="159">
        <f>'3. Assumptions and Drivers'!$K$12/12+'3. Assumptions and Drivers'!$K$13*'5. Payroll and Headcount'!I10</f>
        <v>1266.666667</v>
      </c>
      <c r="H11" s="159">
        <f>'3. Assumptions and Drivers'!$K$12/12+'3. Assumptions and Drivers'!$K$13*'5. Payroll and Headcount'!J10</f>
        <v>1266.666667</v>
      </c>
      <c r="I11" s="159">
        <f>'3. Assumptions and Drivers'!$K$12/12+'3. Assumptions and Drivers'!$K$13*'5. Payroll and Headcount'!K10</f>
        <v>1266.666667</v>
      </c>
      <c r="J11" s="159">
        <f>'3. Assumptions and Drivers'!$K$12/12+'3. Assumptions and Drivers'!$K$13*'5. Payroll and Headcount'!L10</f>
        <v>1266.666667</v>
      </c>
      <c r="K11" s="159">
        <f>'3. Assumptions and Drivers'!$K$12/12+'3. Assumptions and Drivers'!$K$13*'5. Payroll and Headcount'!M10</f>
        <v>1266.666667</v>
      </c>
      <c r="L11" s="159">
        <f>'3. Assumptions and Drivers'!$K$12/12+'3. Assumptions and Drivers'!$K$13*'5. Payroll and Headcount'!N10</f>
        <v>1266.666667</v>
      </c>
      <c r="M11" s="159">
        <f>'3. Assumptions and Drivers'!$K$12/12+'3. Assumptions and Drivers'!$K$13*'5. Payroll and Headcount'!O10</f>
        <v>1266.666667</v>
      </c>
      <c r="N11" s="77">
        <f t="shared" si="1"/>
        <v>15000</v>
      </c>
    </row>
    <row r="12" ht="15.75" customHeight="1">
      <c r="A12" s="72" t="s">
        <v>361</v>
      </c>
      <c r="B12" s="170">
        <f t="shared" ref="B12:M12" si="2">SUM(B5:B11)</f>
        <v>128896.4306</v>
      </c>
      <c r="C12" s="170">
        <f t="shared" si="2"/>
        <v>167886.8338</v>
      </c>
      <c r="D12" s="170">
        <f t="shared" si="2"/>
        <v>154841.0544</v>
      </c>
      <c r="E12" s="170">
        <f t="shared" si="2"/>
        <v>156651.0192</v>
      </c>
      <c r="F12" s="170">
        <f t="shared" si="2"/>
        <v>156459.2544</v>
      </c>
      <c r="G12" s="170">
        <f t="shared" si="2"/>
        <v>162391.0352</v>
      </c>
      <c r="H12" s="170">
        <f t="shared" si="2"/>
        <v>188993.4934</v>
      </c>
      <c r="I12" s="170">
        <f t="shared" si="2"/>
        <v>180957.5934</v>
      </c>
      <c r="J12" s="170">
        <f t="shared" si="2"/>
        <v>175488.9825</v>
      </c>
      <c r="K12" s="170">
        <f t="shared" si="2"/>
        <v>176298.0825</v>
      </c>
      <c r="L12" s="170">
        <f t="shared" si="2"/>
        <v>177107.1825</v>
      </c>
      <c r="M12" s="170">
        <f t="shared" si="2"/>
        <v>178064.8202</v>
      </c>
      <c r="N12" s="161">
        <f t="shared" si="1"/>
        <v>2004035.782</v>
      </c>
    </row>
    <row r="13" ht="15.75" customHeight="1">
      <c r="A13" s="3"/>
      <c r="B13" s="115"/>
      <c r="C13" s="115"/>
      <c r="D13" s="115"/>
      <c r="E13" s="115"/>
      <c r="F13" s="77"/>
      <c r="G13" s="77"/>
      <c r="H13" s="77"/>
      <c r="I13" s="77"/>
      <c r="J13" s="77"/>
      <c r="K13" s="77"/>
      <c r="L13" s="77"/>
      <c r="M13" s="77"/>
      <c r="N13" s="77"/>
    </row>
    <row r="14" ht="15.75" customHeight="1">
      <c r="A14" s="122" t="s">
        <v>362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</row>
    <row r="15" ht="15.75" customHeight="1">
      <c r="A15" s="72" t="s">
        <v>363</v>
      </c>
      <c r="B15" s="77">
        <f>'3. Assumptions and Drivers'!$K$11/12</f>
        <v>18833.33333</v>
      </c>
      <c r="C15" s="77">
        <f>'3. Assumptions and Drivers'!$K$11/12</f>
        <v>18833.33333</v>
      </c>
      <c r="D15" s="77">
        <f>'3. Assumptions and Drivers'!$K$11/12</f>
        <v>18833.33333</v>
      </c>
      <c r="E15" s="77">
        <f>'3. Assumptions and Drivers'!$K$11/12</f>
        <v>18833.33333</v>
      </c>
      <c r="F15" s="77">
        <f>'3. Assumptions and Drivers'!$K$11/12</f>
        <v>18833.33333</v>
      </c>
      <c r="G15" s="77">
        <f>'3. Assumptions and Drivers'!$K$11/12</f>
        <v>18833.33333</v>
      </c>
      <c r="H15" s="77">
        <f>'3. Assumptions and Drivers'!$K$11/12</f>
        <v>18833.33333</v>
      </c>
      <c r="I15" s="77">
        <f>'3. Assumptions and Drivers'!$K$11/12</f>
        <v>18833.33333</v>
      </c>
      <c r="J15" s="77">
        <f>'3. Assumptions and Drivers'!$K$11/12</f>
        <v>18833.33333</v>
      </c>
      <c r="K15" s="77">
        <f>'3. Assumptions and Drivers'!$K$11/12</f>
        <v>18833.33333</v>
      </c>
      <c r="L15" s="77">
        <f>'3. Assumptions and Drivers'!$K$11/12</f>
        <v>18833.33333</v>
      </c>
      <c r="M15" s="77">
        <f>'3. Assumptions and Drivers'!$K$11/12</f>
        <v>18833.33333</v>
      </c>
      <c r="N15" s="77">
        <f t="shared" ref="N15:N21" si="3">SUM(B15:M15)</f>
        <v>226000</v>
      </c>
    </row>
    <row r="16" ht="15.75" customHeight="1">
      <c r="A16" s="72" t="s">
        <v>364</v>
      </c>
      <c r="B16" s="159">
        <f>'3. Assumptions and Drivers'!$K$14/12+'3. Assumptions and Drivers'!$K$15*MAX(0,'4. Revenue and Volume '!D6-100)</f>
        <v>1853.163333</v>
      </c>
      <c r="C16" s="159">
        <f>'3. Assumptions and Drivers'!$K$14/12+'3. Assumptions and Drivers'!$K$15*MAX(0,'4. Revenue and Volume '!E6-100)</f>
        <v>1954.993333</v>
      </c>
      <c r="D16" s="159">
        <f>'3. Assumptions and Drivers'!$K$14/12+'3. Assumptions and Drivers'!$K$15*MAX(0,'4. Revenue and Volume '!F6-100)</f>
        <v>2107.823333</v>
      </c>
      <c r="E16" s="159">
        <f>'3. Assumptions and Drivers'!$K$14/12+'3. Assumptions and Drivers'!$K$15*MAX(0,'4. Revenue and Volume '!G6-100)</f>
        <v>2260.653333</v>
      </c>
      <c r="F16" s="159">
        <f>'3. Assumptions and Drivers'!$K$14/12+'3. Assumptions and Drivers'!$K$15*MAX(0,'4. Revenue and Volume '!H6-100)</f>
        <v>2413.483333</v>
      </c>
      <c r="G16" s="159">
        <f>'3. Assumptions and Drivers'!$K$14/12+'3. Assumptions and Drivers'!$K$15*MAX(0,'4. Revenue and Volume '!I6-100)</f>
        <v>2642.813333</v>
      </c>
      <c r="H16" s="159">
        <f>'3. Assumptions and Drivers'!$K$14/12+'3. Assumptions and Drivers'!$K$15*MAX(0,'4. Revenue and Volume '!J6-100)</f>
        <v>2872.143333</v>
      </c>
      <c r="I16" s="159">
        <f>'3. Assumptions and Drivers'!$K$14/12+'3. Assumptions and Drivers'!$K$15*MAX(0,'4. Revenue and Volume '!K6-100)</f>
        <v>3101.473333</v>
      </c>
      <c r="J16" s="159">
        <f>'3. Assumptions and Drivers'!$K$14/12+'3. Assumptions and Drivers'!$K$15*MAX(0,'4. Revenue and Volume '!L6-100)</f>
        <v>3254.303333</v>
      </c>
      <c r="K16" s="159">
        <f>'3. Assumptions and Drivers'!$K$14/12+'3. Assumptions and Drivers'!$K$15*MAX(0,'4. Revenue and Volume '!M6-100)</f>
        <v>3407.133333</v>
      </c>
      <c r="L16" s="159">
        <f>'3. Assumptions and Drivers'!$K$14/12+'3. Assumptions and Drivers'!$K$15*MAX(0,'4. Revenue and Volume '!N6-100)</f>
        <v>3559.963333</v>
      </c>
      <c r="M16" s="159">
        <f>'3. Assumptions and Drivers'!$K$14/12+'3. Assumptions and Drivers'!$K$15*MAX(0,'4. Revenue and Volume '!O6-100)</f>
        <v>3712.793333</v>
      </c>
      <c r="N16" s="77">
        <f t="shared" si="3"/>
        <v>33140.74</v>
      </c>
    </row>
    <row r="17" ht="15.75" customHeight="1">
      <c r="A17" s="72" t="s">
        <v>365</v>
      </c>
      <c r="B17" s="159">
        <f>'3. Assumptions and Drivers'!$K$16/12</f>
        <v>1500</v>
      </c>
      <c r="C17" s="159">
        <f>'3. Assumptions and Drivers'!$K$16/12</f>
        <v>1500</v>
      </c>
      <c r="D17" s="159">
        <f>'3. Assumptions and Drivers'!$K$16/12</f>
        <v>1500</v>
      </c>
      <c r="E17" s="159">
        <f>'3. Assumptions and Drivers'!$K$16/12</f>
        <v>1500</v>
      </c>
      <c r="F17" s="159">
        <f>'3. Assumptions and Drivers'!$K$16/12</f>
        <v>1500</v>
      </c>
      <c r="G17" s="159">
        <f>'3. Assumptions and Drivers'!$K$16/12</f>
        <v>1500</v>
      </c>
      <c r="H17" s="159">
        <f>'3. Assumptions and Drivers'!$K$16/12</f>
        <v>1500</v>
      </c>
      <c r="I17" s="159">
        <f>'3. Assumptions and Drivers'!$K$16/12</f>
        <v>1500</v>
      </c>
      <c r="J17" s="159">
        <f>'3. Assumptions and Drivers'!$K$16/12</f>
        <v>1500</v>
      </c>
      <c r="K17" s="159">
        <f>'3. Assumptions and Drivers'!$K$16/12</f>
        <v>1500</v>
      </c>
      <c r="L17" s="159">
        <f>'3. Assumptions and Drivers'!$K$16/12</f>
        <v>1500</v>
      </c>
      <c r="M17" s="159">
        <f>'3. Assumptions and Drivers'!$K$16/12</f>
        <v>1500</v>
      </c>
      <c r="N17" s="77">
        <f t="shared" si="3"/>
        <v>18000</v>
      </c>
    </row>
    <row r="18" ht="15.75" customHeight="1">
      <c r="A18" s="72" t="s">
        <v>366</v>
      </c>
      <c r="B18" s="159">
        <f>'3. Assumptions and Drivers'!$K$17/12</f>
        <v>1000</v>
      </c>
      <c r="C18" s="159">
        <f>'3. Assumptions and Drivers'!$K$17/12</f>
        <v>1000</v>
      </c>
      <c r="D18" s="159">
        <f>'3. Assumptions and Drivers'!$K$17/12</f>
        <v>1000</v>
      </c>
      <c r="E18" s="159">
        <f>'3. Assumptions and Drivers'!$K$17/12</f>
        <v>1000</v>
      </c>
      <c r="F18" s="159">
        <f>'3. Assumptions and Drivers'!$K$17/12</f>
        <v>1000</v>
      </c>
      <c r="G18" s="159">
        <f>'3. Assumptions and Drivers'!$K$17/12</f>
        <v>1000</v>
      </c>
      <c r="H18" s="159">
        <f>'3. Assumptions and Drivers'!$K$17/12</f>
        <v>1000</v>
      </c>
      <c r="I18" s="159">
        <f>'3. Assumptions and Drivers'!$K$17/12</f>
        <v>1000</v>
      </c>
      <c r="J18" s="159">
        <f>'3. Assumptions and Drivers'!$K$17/12</f>
        <v>1000</v>
      </c>
      <c r="K18" s="159">
        <f>'3. Assumptions and Drivers'!$K$17/12</f>
        <v>1000</v>
      </c>
      <c r="L18" s="159">
        <f>'3. Assumptions and Drivers'!$K$17/12</f>
        <v>1000</v>
      </c>
      <c r="M18" s="159">
        <f>'3. Assumptions and Drivers'!$K$17/12</f>
        <v>1000</v>
      </c>
      <c r="N18" s="77">
        <f t="shared" si="3"/>
        <v>12000</v>
      </c>
    </row>
    <row r="19" ht="15.75" customHeight="1">
      <c r="A19" s="72" t="s">
        <v>367</v>
      </c>
      <c r="B19" s="159">
        <f>'3. Assumptions and Drivers'!$K$18/12</f>
        <v>500</v>
      </c>
      <c r="C19" s="159">
        <f>'3. Assumptions and Drivers'!$K$18/12</f>
        <v>500</v>
      </c>
      <c r="D19" s="159">
        <f>'3. Assumptions and Drivers'!$K$18/12</f>
        <v>500</v>
      </c>
      <c r="E19" s="159">
        <f>'3. Assumptions and Drivers'!$K$18/12</f>
        <v>500</v>
      </c>
      <c r="F19" s="159">
        <f>'3. Assumptions and Drivers'!$K$18/12</f>
        <v>500</v>
      </c>
      <c r="G19" s="159">
        <f>'3. Assumptions and Drivers'!$K$18/12</f>
        <v>500</v>
      </c>
      <c r="H19" s="159">
        <f>'3. Assumptions and Drivers'!$K$18/12</f>
        <v>500</v>
      </c>
      <c r="I19" s="159">
        <f>'3. Assumptions and Drivers'!$K$18/12</f>
        <v>500</v>
      </c>
      <c r="J19" s="159">
        <f>'3. Assumptions and Drivers'!$K$18/12</f>
        <v>500</v>
      </c>
      <c r="K19" s="159">
        <f>'3. Assumptions and Drivers'!$K$18/12</f>
        <v>500</v>
      </c>
      <c r="L19" s="159">
        <f>'3. Assumptions and Drivers'!$K$18/12</f>
        <v>500</v>
      </c>
      <c r="M19" s="159">
        <f>'3. Assumptions and Drivers'!$K$18/12</f>
        <v>500</v>
      </c>
      <c r="N19" s="77">
        <f t="shared" si="3"/>
        <v>6000</v>
      </c>
    </row>
    <row r="20" ht="15.75" customHeight="1">
      <c r="A20" s="72" t="s">
        <v>368</v>
      </c>
      <c r="B20" s="180">
        <f t="shared" ref="B20:M20" si="4">SUM(B15:B19)</f>
        <v>23686.49667</v>
      </c>
      <c r="C20" s="180">
        <f t="shared" si="4"/>
        <v>23788.32667</v>
      </c>
      <c r="D20" s="180">
        <f t="shared" si="4"/>
        <v>23941.15667</v>
      </c>
      <c r="E20" s="180">
        <f t="shared" si="4"/>
        <v>24093.98667</v>
      </c>
      <c r="F20" s="180">
        <f t="shared" si="4"/>
        <v>24246.81667</v>
      </c>
      <c r="G20" s="180">
        <f t="shared" si="4"/>
        <v>24476.14667</v>
      </c>
      <c r="H20" s="180">
        <f t="shared" si="4"/>
        <v>24705.47667</v>
      </c>
      <c r="I20" s="180">
        <f t="shared" si="4"/>
        <v>24934.80667</v>
      </c>
      <c r="J20" s="180">
        <f t="shared" si="4"/>
        <v>25087.63667</v>
      </c>
      <c r="K20" s="180">
        <f t="shared" si="4"/>
        <v>25240.46667</v>
      </c>
      <c r="L20" s="180">
        <f t="shared" si="4"/>
        <v>25393.29667</v>
      </c>
      <c r="M20" s="180">
        <f t="shared" si="4"/>
        <v>25546.12667</v>
      </c>
      <c r="N20" s="181">
        <f t="shared" si="3"/>
        <v>295140.74</v>
      </c>
    </row>
    <row r="21" ht="15.75" customHeight="1">
      <c r="A21" s="72" t="s">
        <v>369</v>
      </c>
      <c r="B21" s="170">
        <f t="shared" ref="B21:M21" si="5">B12+B20</f>
        <v>152582.9273</v>
      </c>
      <c r="C21" s="170">
        <f t="shared" si="5"/>
        <v>191675.1604</v>
      </c>
      <c r="D21" s="170">
        <f t="shared" si="5"/>
        <v>178782.211</v>
      </c>
      <c r="E21" s="170">
        <f t="shared" si="5"/>
        <v>180745.0058</v>
      </c>
      <c r="F21" s="170">
        <f t="shared" si="5"/>
        <v>180706.071</v>
      </c>
      <c r="G21" s="170">
        <f t="shared" si="5"/>
        <v>186867.1819</v>
      </c>
      <c r="H21" s="170">
        <f t="shared" si="5"/>
        <v>213698.97</v>
      </c>
      <c r="I21" s="170">
        <f t="shared" si="5"/>
        <v>205892.4</v>
      </c>
      <c r="J21" s="170">
        <f t="shared" si="5"/>
        <v>200576.6192</v>
      </c>
      <c r="K21" s="170">
        <f t="shared" si="5"/>
        <v>201538.5492</v>
      </c>
      <c r="L21" s="170">
        <f t="shared" si="5"/>
        <v>202500.4792</v>
      </c>
      <c r="M21" s="170">
        <f t="shared" si="5"/>
        <v>203610.9469</v>
      </c>
      <c r="N21" s="161">
        <f t="shared" si="3"/>
        <v>2299176.522</v>
      </c>
    </row>
    <row r="22" ht="15.75" customHeight="1">
      <c r="A22" s="3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</row>
    <row r="23" ht="15.75" customHeight="1">
      <c r="A23" s="122" t="s">
        <v>185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</row>
    <row r="24" ht="15.75" customHeight="1">
      <c r="A24" s="72" t="s">
        <v>370</v>
      </c>
      <c r="B24" s="159">
        <f>'3. Assumptions and Drivers'!$K$21*MAX(0,('5. Payroll and Headcount'!D6+'5. Payroll and Headcount'!D7)-('5. Payroll and Headcount'!C6+'5. Payroll and Headcount'!C7))</f>
        <v>0</v>
      </c>
      <c r="C24" s="159">
        <f>'3. Assumptions and Drivers'!$K$21*MAX(0,('5. Payroll and Headcount'!E6+'5. Payroll and Headcount'!E7)-('5. Payroll and Headcount'!D6+'5. Payroll and Headcount'!D7))</f>
        <v>2500</v>
      </c>
      <c r="D24" s="159">
        <f>'3. Assumptions and Drivers'!$K$21*MAX(0,('5. Payroll and Headcount'!F6+'5. Payroll and Headcount'!F7)-('5. Payroll and Headcount'!E6+'5. Payroll and Headcount'!E7))</f>
        <v>0</v>
      </c>
      <c r="E24" s="159">
        <f>'3. Assumptions and Drivers'!$K$21*MAX(0,('5. Payroll and Headcount'!G6+'5. Payroll and Headcount'!G7)-('5. Payroll and Headcount'!F6+'5. Payroll and Headcount'!F7))</f>
        <v>0</v>
      </c>
      <c r="F24" s="159">
        <f>'3. Assumptions and Drivers'!$K$21*MAX(0,('5. Payroll and Headcount'!H6+'5. Payroll and Headcount'!H7)-('5. Payroll and Headcount'!G6+'5. Payroll and Headcount'!G7))</f>
        <v>0</v>
      </c>
      <c r="G24" s="159">
        <f>'3. Assumptions and Drivers'!$K$21*MAX(0,('5. Payroll and Headcount'!I6+'5. Payroll and Headcount'!I7)-('5. Payroll and Headcount'!H6+'5. Payroll and Headcount'!H7))</f>
        <v>0</v>
      </c>
      <c r="H24" s="159">
        <f>'3. Assumptions and Drivers'!$K$21*MAX(0,('5. Payroll and Headcount'!J6+'5. Payroll and Headcount'!J7)-('5. Payroll and Headcount'!I6+'5. Payroll and Headcount'!I7))</f>
        <v>2500</v>
      </c>
      <c r="I24" s="159">
        <f>'3. Assumptions and Drivers'!$K$21*MAX(0,('5. Payroll and Headcount'!K6+'5. Payroll and Headcount'!K7)-('5. Payroll and Headcount'!J6+'5. Payroll and Headcount'!J7))</f>
        <v>0</v>
      </c>
      <c r="J24" s="159">
        <f>'3. Assumptions and Drivers'!$K$21*MAX(0,('5. Payroll and Headcount'!L6+'5. Payroll and Headcount'!L7)-('5. Payroll and Headcount'!K6+'5. Payroll and Headcount'!K7))</f>
        <v>0</v>
      </c>
      <c r="K24" s="159">
        <f>'3. Assumptions and Drivers'!$K$21*MAX(0,('5. Payroll and Headcount'!M6+'5. Payroll and Headcount'!M7)-('5. Payroll and Headcount'!L6+'5. Payroll and Headcount'!L7))</f>
        <v>0</v>
      </c>
      <c r="L24" s="159">
        <f>'3. Assumptions and Drivers'!$K$21*MAX(0,('5. Payroll and Headcount'!N6+'5. Payroll and Headcount'!N7)-('5. Payroll and Headcount'!M6+'5. Payroll and Headcount'!M7))</f>
        <v>0</v>
      </c>
      <c r="M24" s="159">
        <f>'3. Assumptions and Drivers'!$K$21*MAX(0,('5. Payroll and Headcount'!O6+'5. Payroll and Headcount'!O7)-('5. Payroll and Headcount'!N6+'5. Payroll and Headcount'!N7))</f>
        <v>0</v>
      </c>
      <c r="N24" s="77">
        <f t="shared" ref="N24:N29" si="6">SUM(B24:M24)</f>
        <v>5000</v>
      </c>
    </row>
    <row r="25" ht="15.75" customHeight="1">
      <c r="A25" s="72" t="s">
        <v>371</v>
      </c>
      <c r="B25" s="159">
        <f>'3. Assumptions and Drivers'!$K$22*MAX(0,('5. Payroll and Headcount'!D6+'5. Payroll and Headcount'!D7)-('5. Payroll and Headcount'!C6+'5. Payroll and Headcount'!C7))</f>
        <v>0</v>
      </c>
      <c r="C25" s="159">
        <f>'3. Assumptions and Drivers'!$K$22*MAX(0,('5. Payroll and Headcount'!E6+'5. Payroll and Headcount'!E7)-('5. Payroll and Headcount'!D6+'5. Payroll and Headcount'!D7))</f>
        <v>800</v>
      </c>
      <c r="D25" s="159">
        <f>'3. Assumptions and Drivers'!$K$22*MAX(0,('5. Payroll and Headcount'!F6+'5. Payroll and Headcount'!F7)-('5. Payroll and Headcount'!E6+'5. Payroll and Headcount'!E7))</f>
        <v>0</v>
      </c>
      <c r="E25" s="159">
        <f>'3. Assumptions and Drivers'!$K$22*MAX(0,('5. Payroll and Headcount'!G6+'5. Payroll and Headcount'!G7)-('5. Payroll and Headcount'!F6+'5. Payroll and Headcount'!F7))</f>
        <v>0</v>
      </c>
      <c r="F25" s="159">
        <f>'3. Assumptions and Drivers'!$K$22*MAX(0,('5. Payroll and Headcount'!H6+'5. Payroll and Headcount'!H7)-('5. Payroll and Headcount'!G6+'5. Payroll and Headcount'!G7))</f>
        <v>0</v>
      </c>
      <c r="G25" s="159">
        <f>'3. Assumptions and Drivers'!$K$22*MAX(0,('5. Payroll and Headcount'!I6+'5. Payroll and Headcount'!I7)-('5. Payroll and Headcount'!H6+'5. Payroll and Headcount'!H7))</f>
        <v>0</v>
      </c>
      <c r="H25" s="159">
        <f>'3. Assumptions and Drivers'!$K$22*MAX(0,('5. Payroll and Headcount'!J6+'5. Payroll and Headcount'!J7)-('5. Payroll and Headcount'!I6+'5. Payroll and Headcount'!I7))</f>
        <v>800</v>
      </c>
      <c r="I25" s="159">
        <f>'3. Assumptions and Drivers'!$K$22*MAX(0,('5. Payroll and Headcount'!K6+'5. Payroll and Headcount'!K7)-('5. Payroll and Headcount'!J6+'5. Payroll and Headcount'!J7))</f>
        <v>0</v>
      </c>
      <c r="J25" s="159">
        <f>'3. Assumptions and Drivers'!$K$22*MAX(0,('5. Payroll and Headcount'!L6+'5. Payroll and Headcount'!L7)-('5. Payroll and Headcount'!K6+'5. Payroll and Headcount'!K7))</f>
        <v>0</v>
      </c>
      <c r="K25" s="159">
        <f>'3. Assumptions and Drivers'!$K$22*MAX(0,('5. Payroll and Headcount'!M6+'5. Payroll and Headcount'!M7)-('5. Payroll and Headcount'!L6+'5. Payroll and Headcount'!L7))</f>
        <v>0</v>
      </c>
      <c r="L25" s="159">
        <f>'3. Assumptions and Drivers'!$K$22*MAX(0,('5. Payroll and Headcount'!N6+'5. Payroll and Headcount'!N7)-('5. Payroll and Headcount'!M6+'5. Payroll and Headcount'!M7))</f>
        <v>0</v>
      </c>
      <c r="M25" s="159">
        <f>'3. Assumptions and Drivers'!$K$22*MAX(0,('5. Payroll and Headcount'!O6+'5. Payroll and Headcount'!O7)-('5. Payroll and Headcount'!N6+'5. Payroll and Headcount'!N7))</f>
        <v>0</v>
      </c>
      <c r="N25" s="77">
        <f t="shared" si="6"/>
        <v>1600</v>
      </c>
    </row>
    <row r="26" ht="15.75" customHeight="1">
      <c r="A26" s="72" t="s">
        <v>372</v>
      </c>
      <c r="B26" s="159">
        <f>'3. Assumptions and Drivers'!$K$23*MAX(0,('5. Payroll and Headcount'!D6+'5. Payroll and Headcount'!D7)-('5. Payroll and Headcount'!C6+'5. Payroll and Headcount'!C7))</f>
        <v>0</v>
      </c>
      <c r="C26" s="159">
        <f>'3. Assumptions and Drivers'!$K$23*MAX(0,('5. Payroll and Headcount'!E6+'5. Payroll and Headcount'!E7)-('5. Payroll and Headcount'!D6+'5. Payroll and Headcount'!D7))</f>
        <v>3200</v>
      </c>
      <c r="D26" s="159">
        <f>'3. Assumptions and Drivers'!$K$23*MAX(0,('5. Payroll and Headcount'!F6+'5. Payroll and Headcount'!F7)-('5. Payroll and Headcount'!E6+'5. Payroll and Headcount'!E7))</f>
        <v>0</v>
      </c>
      <c r="E26" s="159">
        <f>'3. Assumptions and Drivers'!$K$23*MAX(0,('5. Payroll and Headcount'!G6+'5. Payroll and Headcount'!G7)-('5. Payroll and Headcount'!F6+'5. Payroll and Headcount'!F7))</f>
        <v>0</v>
      </c>
      <c r="F26" s="159">
        <f>'3. Assumptions and Drivers'!$K$23*MAX(0,('5. Payroll and Headcount'!H6+'5. Payroll and Headcount'!H7)-('5. Payroll and Headcount'!G6+'5. Payroll and Headcount'!G7))</f>
        <v>0</v>
      </c>
      <c r="G26" s="159">
        <f>'3. Assumptions and Drivers'!$K$23*MAX(0,('5. Payroll and Headcount'!I6+'5. Payroll and Headcount'!I7)-('5. Payroll and Headcount'!H6+'5. Payroll and Headcount'!H7))</f>
        <v>0</v>
      </c>
      <c r="H26" s="159">
        <f>'3. Assumptions and Drivers'!$K$23*MAX(0,('5. Payroll and Headcount'!J6+'5. Payroll and Headcount'!J7)-('5. Payroll and Headcount'!I6+'5. Payroll and Headcount'!I7))</f>
        <v>3200</v>
      </c>
      <c r="I26" s="159">
        <f>'3. Assumptions and Drivers'!$K$23*MAX(0,('5. Payroll and Headcount'!K6+'5. Payroll and Headcount'!K7)-('5. Payroll and Headcount'!J6+'5. Payroll and Headcount'!J7))</f>
        <v>0</v>
      </c>
      <c r="J26" s="159">
        <f>'3. Assumptions and Drivers'!$K$23*MAX(0,('5. Payroll and Headcount'!L6+'5. Payroll and Headcount'!L7)-('5. Payroll and Headcount'!K6+'5. Payroll and Headcount'!K7))</f>
        <v>0</v>
      </c>
      <c r="K26" s="159">
        <f>'3. Assumptions and Drivers'!$K$23*MAX(0,('5. Payroll and Headcount'!M6+'5. Payroll and Headcount'!M7)-('5. Payroll and Headcount'!L6+'5. Payroll and Headcount'!L7))</f>
        <v>0</v>
      </c>
      <c r="L26" s="159">
        <f>'3. Assumptions and Drivers'!$K$23*MAX(0,('5. Payroll and Headcount'!N6+'5. Payroll and Headcount'!N7)-('5. Payroll and Headcount'!M6+'5. Payroll and Headcount'!M7))</f>
        <v>0</v>
      </c>
      <c r="M26" s="159">
        <f>'3. Assumptions and Drivers'!$K$23*MAX(0,('5. Payroll and Headcount'!O6+'5. Payroll and Headcount'!O7)-('5. Payroll and Headcount'!N6+'5. Payroll and Headcount'!N7))</f>
        <v>0</v>
      </c>
      <c r="N26" s="77">
        <f t="shared" si="6"/>
        <v>6400</v>
      </c>
    </row>
    <row r="27" ht="15.75" customHeight="1">
      <c r="A27" s="72" t="s">
        <v>373</v>
      </c>
      <c r="B27" s="159">
        <f>'3. Assumptions and Drivers'!$K$24*MAX(0,('5. Payroll and Headcount'!D6+'5. Payroll and Headcount'!D7)-('5. Payroll and Headcount'!C6+'5. Payroll and Headcount'!C7))</f>
        <v>0</v>
      </c>
      <c r="C27" s="159">
        <f>'3. Assumptions and Drivers'!$K$24*MAX(0,('5. Payroll and Headcount'!E6+'5. Payroll and Headcount'!E7)-('5. Payroll and Headcount'!D6+'5. Payroll and Headcount'!D7))</f>
        <v>1500</v>
      </c>
      <c r="D27" s="159">
        <f>'3. Assumptions and Drivers'!$K$24*MAX(0,('5. Payroll and Headcount'!F6+'5. Payroll and Headcount'!F7)-('5. Payroll and Headcount'!E6+'5. Payroll and Headcount'!E7))</f>
        <v>0</v>
      </c>
      <c r="E27" s="159">
        <f>'3. Assumptions and Drivers'!$K$24*MAX(0,('5. Payroll and Headcount'!G6+'5. Payroll and Headcount'!G7)-('5. Payroll and Headcount'!F6+'5. Payroll and Headcount'!F7))</f>
        <v>0</v>
      </c>
      <c r="F27" s="159">
        <f>'3. Assumptions and Drivers'!$K$24*MAX(0,('5. Payroll and Headcount'!H6+'5. Payroll and Headcount'!H7)-('5. Payroll and Headcount'!G6+'5. Payroll and Headcount'!G7))</f>
        <v>0</v>
      </c>
      <c r="G27" s="159">
        <f>'3. Assumptions and Drivers'!$K$24*MAX(0,('5. Payroll and Headcount'!I6+'5. Payroll and Headcount'!I7)-('5. Payroll and Headcount'!H6+'5. Payroll and Headcount'!H7))</f>
        <v>0</v>
      </c>
      <c r="H27" s="159">
        <f>'3. Assumptions and Drivers'!$K$24*MAX(0,('5. Payroll and Headcount'!J6+'5. Payroll and Headcount'!J7)-('5. Payroll and Headcount'!I6+'5. Payroll and Headcount'!I7))</f>
        <v>1500</v>
      </c>
      <c r="I27" s="159">
        <f>'3. Assumptions and Drivers'!$K$24*MAX(0,('5. Payroll and Headcount'!K6+'5. Payroll and Headcount'!K7)-('5. Payroll and Headcount'!J6+'5. Payroll and Headcount'!J7))</f>
        <v>0</v>
      </c>
      <c r="J27" s="159">
        <f>'3. Assumptions and Drivers'!$K$24*MAX(0,('5. Payroll and Headcount'!L6+'5. Payroll and Headcount'!L7)-('5. Payroll and Headcount'!K6+'5. Payroll and Headcount'!K7))</f>
        <v>0</v>
      </c>
      <c r="K27" s="159">
        <f>'3. Assumptions and Drivers'!$K$24*MAX(0,('5. Payroll and Headcount'!M6+'5. Payroll and Headcount'!M7)-('5. Payroll and Headcount'!L6+'5. Payroll and Headcount'!L7))</f>
        <v>0</v>
      </c>
      <c r="L27" s="159">
        <f>'3. Assumptions and Drivers'!$K$24*MAX(0,('5. Payroll and Headcount'!N6+'5. Payroll and Headcount'!N7)-('5. Payroll and Headcount'!M6+'5. Payroll and Headcount'!M7))</f>
        <v>0</v>
      </c>
      <c r="M27" s="159">
        <f>'3. Assumptions and Drivers'!$K$24*MAX(0,('5. Payroll and Headcount'!O6+'5. Payroll and Headcount'!O7)-('5. Payroll and Headcount'!N6+'5. Payroll and Headcount'!N7))</f>
        <v>0</v>
      </c>
      <c r="N27" s="77">
        <f t="shared" si="6"/>
        <v>3000</v>
      </c>
    </row>
    <row r="28" ht="15.75" customHeight="1">
      <c r="A28" s="72" t="s">
        <v>374</v>
      </c>
      <c r="B28" s="159">
        <f>'3. Assumptions and Drivers'!$K$25</f>
        <v>15000</v>
      </c>
      <c r="C28" s="159">
        <v>0.0</v>
      </c>
      <c r="D28" s="159">
        <v>0.0</v>
      </c>
      <c r="E28" s="159">
        <v>0.0</v>
      </c>
      <c r="F28" s="159">
        <v>0.0</v>
      </c>
      <c r="G28" s="159">
        <v>0.0</v>
      </c>
      <c r="H28" s="159">
        <v>0.0</v>
      </c>
      <c r="I28" s="159">
        <v>0.0</v>
      </c>
      <c r="J28" s="159">
        <v>0.0</v>
      </c>
      <c r="K28" s="159">
        <v>0.0</v>
      </c>
      <c r="L28" s="159">
        <v>0.0</v>
      </c>
      <c r="M28" s="159">
        <v>0.0</v>
      </c>
      <c r="N28" s="77">
        <f t="shared" si="6"/>
        <v>15000</v>
      </c>
    </row>
    <row r="29" ht="15.75" customHeight="1">
      <c r="A29" s="140" t="s">
        <v>375</v>
      </c>
      <c r="B29" s="170">
        <f t="shared" ref="B29:M29" si="7">SUM(B24:B28)</f>
        <v>15000</v>
      </c>
      <c r="C29" s="170">
        <f t="shared" si="7"/>
        <v>8000</v>
      </c>
      <c r="D29" s="170">
        <f t="shared" si="7"/>
        <v>0</v>
      </c>
      <c r="E29" s="170">
        <f t="shared" si="7"/>
        <v>0</v>
      </c>
      <c r="F29" s="170">
        <f t="shared" si="7"/>
        <v>0</v>
      </c>
      <c r="G29" s="170">
        <f t="shared" si="7"/>
        <v>0</v>
      </c>
      <c r="H29" s="170">
        <f t="shared" si="7"/>
        <v>8000</v>
      </c>
      <c r="I29" s="170">
        <f t="shared" si="7"/>
        <v>0</v>
      </c>
      <c r="J29" s="170">
        <f t="shared" si="7"/>
        <v>0</v>
      </c>
      <c r="K29" s="170">
        <f t="shared" si="7"/>
        <v>0</v>
      </c>
      <c r="L29" s="170">
        <f t="shared" si="7"/>
        <v>0</v>
      </c>
      <c r="M29" s="170">
        <f t="shared" si="7"/>
        <v>0</v>
      </c>
      <c r="N29" s="101">
        <f t="shared" si="6"/>
        <v>31000</v>
      </c>
    </row>
    <row r="30" ht="15.75" customHeight="1">
      <c r="A30" s="3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</row>
    <row r="31" ht="15.75" customHeight="1">
      <c r="A31" s="102" t="s">
        <v>376</v>
      </c>
      <c r="B31" s="101">
        <f t="shared" ref="B31:N31" si="8">SUM(B29,B21)</f>
        <v>167582.9273</v>
      </c>
      <c r="C31" s="101">
        <f t="shared" si="8"/>
        <v>199675.1604</v>
      </c>
      <c r="D31" s="101">
        <f t="shared" si="8"/>
        <v>178782.211</v>
      </c>
      <c r="E31" s="101">
        <f t="shared" si="8"/>
        <v>180745.0058</v>
      </c>
      <c r="F31" s="101">
        <f t="shared" si="8"/>
        <v>180706.071</v>
      </c>
      <c r="G31" s="101">
        <f t="shared" si="8"/>
        <v>186867.1819</v>
      </c>
      <c r="H31" s="101">
        <f t="shared" si="8"/>
        <v>221698.97</v>
      </c>
      <c r="I31" s="101">
        <f t="shared" si="8"/>
        <v>205892.4</v>
      </c>
      <c r="J31" s="101">
        <f t="shared" si="8"/>
        <v>200576.6192</v>
      </c>
      <c r="K31" s="101">
        <f t="shared" si="8"/>
        <v>201538.5492</v>
      </c>
      <c r="L31" s="101">
        <f t="shared" si="8"/>
        <v>202500.4792</v>
      </c>
      <c r="M31" s="101">
        <f t="shared" si="8"/>
        <v>203610.9469</v>
      </c>
      <c r="N31" s="161">
        <f t="shared" si="8"/>
        <v>2330176.522</v>
      </c>
    </row>
    <row r="32" ht="15.75" customHeight="1">
      <c r="A32" s="3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</row>
    <row r="33" ht="15.75" customHeight="1">
      <c r="A33" s="3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</row>
    <row r="34" ht="15.75" customHeight="1">
      <c r="A34" s="3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</row>
    <row r="35" ht="15.75" customHeight="1">
      <c r="A35" s="3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</row>
    <row r="36" ht="15.75" customHeight="1">
      <c r="A36" s="3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</row>
    <row r="37" ht="15.75" customHeight="1">
      <c r="A37" s="3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</row>
    <row r="38" ht="15.75" customHeight="1">
      <c r="A38" s="3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</row>
    <row r="39" ht="15.75" customHeight="1">
      <c r="A39" s="3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</row>
    <row r="40" ht="15.75" customHeight="1">
      <c r="A40" s="3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</row>
    <row r="41" ht="15.75" customHeight="1">
      <c r="A41" s="3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</row>
    <row r="42" ht="15.75" customHeight="1">
      <c r="A42" s="3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</row>
    <row r="43" ht="15.75" customHeight="1">
      <c r="A43" s="3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</row>
    <row r="44" ht="15.75" customHeight="1">
      <c r="A44" s="3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</row>
    <row r="45" ht="15.75" customHeight="1">
      <c r="A45" s="3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</row>
    <row r="46" ht="15.75" customHeight="1">
      <c r="A46" s="3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</row>
    <row r="47" ht="15.75" customHeight="1">
      <c r="A47" s="3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</row>
    <row r="48" ht="15.75" customHeight="1">
      <c r="A48" s="3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</row>
    <row r="49" ht="15.75" customHeight="1">
      <c r="A49" s="3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</row>
    <row r="50" ht="15.75" customHeight="1">
      <c r="A50" s="3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</row>
    <row r="51" ht="15.75" customHeight="1">
      <c r="A51" s="3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</row>
    <row r="52" ht="15.75" customHeight="1">
      <c r="A52" s="3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</row>
    <row r="53" ht="15.75" customHeight="1">
      <c r="A53" s="3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</row>
    <row r="54" ht="15.75" customHeight="1">
      <c r="A54" s="3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</row>
    <row r="55" ht="15.75" customHeight="1">
      <c r="A55" s="3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</row>
    <row r="56" ht="15.75" customHeight="1">
      <c r="A56" s="3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</row>
    <row r="57" ht="15.75" customHeight="1">
      <c r="A57" s="3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</row>
    <row r="58" ht="15.75" customHeight="1">
      <c r="A58" s="3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</row>
    <row r="59" ht="15.75" customHeight="1">
      <c r="A59" s="3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</row>
    <row r="60" ht="15.75" customHeight="1">
      <c r="A60" s="3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</row>
    <row r="61" ht="15.75" customHeight="1">
      <c r="A61" s="3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</row>
    <row r="62" ht="15.75" customHeight="1">
      <c r="A62" s="3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</row>
    <row r="63" ht="15.75" customHeight="1">
      <c r="A63" s="3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</row>
    <row r="64" ht="15.75" customHeight="1">
      <c r="A64" s="3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</row>
    <row r="65" ht="15.75" customHeight="1">
      <c r="A65" s="3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</row>
    <row r="66" ht="15.75" customHeight="1">
      <c r="A66" s="3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</row>
    <row r="67" ht="15.75" customHeight="1">
      <c r="A67" s="3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</row>
    <row r="68" ht="15.75" customHeight="1">
      <c r="A68" s="3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</row>
    <row r="69" ht="15.75" customHeight="1">
      <c r="A69" s="3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</row>
    <row r="70" ht="15.75" customHeight="1">
      <c r="A70" s="3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</row>
    <row r="71" ht="15.75" customHeight="1">
      <c r="A71" s="3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</row>
    <row r="72" ht="15.75" customHeight="1">
      <c r="A72" s="3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</row>
    <row r="73" ht="15.75" customHeight="1">
      <c r="A73" s="3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</row>
    <row r="74" ht="15.75" customHeight="1">
      <c r="A74" s="3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</row>
    <row r="75" ht="15.75" customHeight="1">
      <c r="A75" s="3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</row>
    <row r="76" ht="15.75" customHeight="1">
      <c r="A76" s="3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</row>
    <row r="77" ht="15.75" customHeight="1">
      <c r="A77" s="3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</row>
    <row r="78" ht="15.75" customHeight="1">
      <c r="A78" s="3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</row>
    <row r="79" ht="15.75" customHeight="1">
      <c r="A79" s="3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</row>
    <row r="80" ht="15.75" customHeight="1">
      <c r="A80" s="3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</row>
    <row r="81" ht="15.75" customHeight="1">
      <c r="A81" s="3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</row>
    <row r="82" ht="15.75" customHeight="1">
      <c r="A82" s="3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</row>
    <row r="83" ht="15.75" customHeight="1">
      <c r="A83" s="3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</row>
    <row r="84" ht="15.75" customHeight="1">
      <c r="A84" s="3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</row>
    <row r="85" ht="15.75" customHeight="1">
      <c r="A85" s="3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</row>
    <row r="86" ht="15.75" customHeight="1">
      <c r="A86" s="3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</row>
    <row r="87" ht="15.75" customHeight="1">
      <c r="A87" s="3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</row>
    <row r="88" ht="15.75" customHeight="1">
      <c r="A88" s="3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</row>
    <row r="89" ht="15.75" customHeight="1">
      <c r="A89" s="3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</row>
    <row r="90" ht="15.75" customHeight="1">
      <c r="A90" s="3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</row>
    <row r="91" ht="15.75" customHeight="1">
      <c r="A91" s="3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</row>
    <row r="92" ht="15.75" customHeight="1">
      <c r="A92" s="3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</row>
    <row r="93" ht="15.75" customHeight="1">
      <c r="A93" s="3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</row>
    <row r="94" ht="15.75" customHeight="1">
      <c r="A94" s="3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</row>
    <row r="95" ht="15.75" customHeight="1">
      <c r="A95" s="3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</row>
    <row r="96" ht="15.75" customHeight="1">
      <c r="A96" s="3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</row>
    <row r="97" ht="15.75" customHeight="1">
      <c r="A97" s="3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</row>
    <row r="98" ht="15.75" customHeight="1">
      <c r="A98" s="3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</row>
    <row r="99" ht="15.75" customHeight="1">
      <c r="A99" s="3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</row>
    <row r="100" ht="15.75" customHeight="1">
      <c r="A100" s="3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</row>
    <row r="101" ht="15.75" customHeight="1">
      <c r="A101" s="3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</row>
    <row r="102" ht="15.75" customHeight="1">
      <c r="A102" s="3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</row>
    <row r="103" ht="15.75" customHeight="1">
      <c r="A103" s="3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</row>
    <row r="104" ht="15.75" customHeight="1">
      <c r="A104" s="3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</row>
    <row r="105" ht="15.75" customHeight="1">
      <c r="A105" s="3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</row>
    <row r="106" ht="15.75" customHeight="1">
      <c r="A106" s="3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</row>
    <row r="107" ht="15.75" customHeight="1">
      <c r="A107" s="3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</row>
    <row r="108" ht="15.75" customHeight="1">
      <c r="A108" s="3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</row>
    <row r="109" ht="15.75" customHeight="1">
      <c r="A109" s="3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</row>
    <row r="110" ht="15.75" customHeight="1">
      <c r="A110" s="3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</row>
    <row r="111" ht="15.75" customHeight="1">
      <c r="A111" s="3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</row>
    <row r="112" ht="15.75" customHeight="1">
      <c r="A112" s="3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</row>
    <row r="113" ht="15.75" customHeight="1">
      <c r="A113" s="3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</row>
    <row r="114" ht="15.75" customHeight="1">
      <c r="A114" s="3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</row>
    <row r="115" ht="15.75" customHeight="1">
      <c r="A115" s="3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</row>
    <row r="116" ht="15.75" customHeight="1">
      <c r="A116" s="3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</row>
    <row r="117" ht="15.75" customHeight="1">
      <c r="A117" s="3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</row>
    <row r="118" ht="15.75" customHeight="1">
      <c r="A118" s="3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</row>
    <row r="119" ht="15.75" customHeight="1">
      <c r="A119" s="3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</row>
    <row r="120" ht="15.75" customHeight="1">
      <c r="A120" s="3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</row>
    <row r="121" ht="15.75" customHeight="1">
      <c r="A121" s="3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</row>
    <row r="122" ht="15.75" customHeight="1">
      <c r="A122" s="3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</row>
    <row r="123" ht="15.75" customHeight="1">
      <c r="A123" s="3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</row>
    <row r="124" ht="15.75" customHeight="1">
      <c r="A124" s="3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</row>
    <row r="125" ht="15.75" customHeight="1">
      <c r="A125" s="3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</row>
    <row r="126" ht="15.75" customHeight="1">
      <c r="A126" s="3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</row>
    <row r="127" ht="15.75" customHeight="1">
      <c r="A127" s="3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</row>
    <row r="128" ht="15.75" customHeight="1">
      <c r="A128" s="3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</row>
    <row r="129" ht="15.75" customHeight="1">
      <c r="A129" s="3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</row>
    <row r="130" ht="15.75" customHeight="1">
      <c r="A130" s="3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</row>
    <row r="131" ht="15.75" customHeight="1">
      <c r="A131" s="3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</row>
    <row r="132" ht="15.75" customHeight="1">
      <c r="A132" s="3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</row>
    <row r="133" ht="15.75" customHeight="1">
      <c r="A133" s="3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</row>
    <row r="134" ht="15.75" customHeight="1">
      <c r="A134" s="3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</row>
    <row r="135" ht="15.75" customHeight="1">
      <c r="A135" s="3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</row>
    <row r="136" ht="15.75" customHeight="1">
      <c r="A136" s="3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</row>
    <row r="137" ht="15.75" customHeight="1">
      <c r="A137" s="3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</row>
    <row r="138" ht="15.75" customHeight="1">
      <c r="A138" s="3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</row>
    <row r="139" ht="15.75" customHeight="1">
      <c r="A139" s="3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</row>
    <row r="140" ht="15.75" customHeight="1">
      <c r="A140" s="3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</row>
    <row r="141" ht="15.75" customHeight="1">
      <c r="A141" s="3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</row>
    <row r="142" ht="15.75" customHeight="1">
      <c r="A142" s="3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</row>
    <row r="143" ht="15.75" customHeight="1">
      <c r="A143" s="3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</row>
    <row r="144" ht="15.75" customHeight="1">
      <c r="A144" s="3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</row>
    <row r="145" ht="15.75" customHeight="1">
      <c r="A145" s="3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</row>
    <row r="146" ht="15.75" customHeight="1">
      <c r="A146" s="3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</row>
    <row r="147" ht="15.75" customHeight="1">
      <c r="A147" s="3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</row>
    <row r="148" ht="15.75" customHeight="1">
      <c r="A148" s="3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</row>
    <row r="149" ht="15.75" customHeight="1">
      <c r="A149" s="3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</row>
    <row r="150" ht="15.75" customHeight="1">
      <c r="A150" s="3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</row>
    <row r="151" ht="15.75" customHeight="1">
      <c r="A151" s="3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</row>
    <row r="152" ht="15.75" customHeight="1">
      <c r="A152" s="3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</row>
    <row r="153" ht="15.75" customHeight="1">
      <c r="A153" s="3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</row>
    <row r="154" ht="15.75" customHeight="1">
      <c r="A154" s="3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</row>
    <row r="155" ht="15.75" customHeight="1">
      <c r="A155" s="3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</row>
    <row r="156" ht="15.75" customHeight="1">
      <c r="A156" s="3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</row>
    <row r="157" ht="15.75" customHeight="1">
      <c r="A157" s="3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</row>
    <row r="158" ht="15.75" customHeight="1">
      <c r="A158" s="3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</row>
    <row r="159" ht="15.75" customHeight="1">
      <c r="A159" s="3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</row>
    <row r="160" ht="15.75" customHeight="1">
      <c r="A160" s="3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</row>
    <row r="161" ht="15.75" customHeight="1">
      <c r="A161" s="3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</row>
    <row r="162" ht="15.75" customHeight="1">
      <c r="A162" s="3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</row>
    <row r="163" ht="15.75" customHeight="1">
      <c r="A163" s="3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</row>
    <row r="164" ht="15.75" customHeight="1">
      <c r="A164" s="3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</row>
    <row r="165" ht="15.75" customHeight="1">
      <c r="A165" s="3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</row>
    <row r="166" ht="15.75" customHeight="1">
      <c r="A166" s="3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</row>
    <row r="167" ht="15.75" customHeight="1">
      <c r="A167" s="3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</row>
    <row r="168" ht="15.75" customHeight="1">
      <c r="A168" s="3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</row>
    <row r="169" ht="15.75" customHeight="1">
      <c r="A169" s="3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</row>
    <row r="170" ht="15.75" customHeight="1">
      <c r="A170" s="3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</row>
    <row r="171" ht="15.75" customHeight="1">
      <c r="A171" s="3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</row>
    <row r="172" ht="15.75" customHeight="1">
      <c r="A172" s="3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</row>
    <row r="173" ht="15.75" customHeight="1">
      <c r="A173" s="3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</row>
    <row r="174" ht="15.75" customHeight="1">
      <c r="A174" s="3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</row>
    <row r="175" ht="15.75" customHeight="1">
      <c r="A175" s="3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</row>
    <row r="176" ht="15.75" customHeight="1">
      <c r="A176" s="3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</row>
    <row r="177" ht="15.75" customHeight="1">
      <c r="A177" s="3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</row>
    <row r="178" ht="15.75" customHeight="1">
      <c r="A178" s="3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</row>
    <row r="179" ht="15.75" customHeight="1">
      <c r="A179" s="3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</row>
    <row r="180" ht="15.75" customHeight="1">
      <c r="A180" s="3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</row>
    <row r="181" ht="15.75" customHeight="1">
      <c r="A181" s="3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</row>
    <row r="182" ht="15.75" customHeight="1">
      <c r="A182" s="3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</row>
    <row r="183" ht="15.75" customHeight="1">
      <c r="A183" s="3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</row>
    <row r="184" ht="15.75" customHeight="1">
      <c r="A184" s="3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</row>
    <row r="185" ht="15.75" customHeight="1">
      <c r="A185" s="3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</row>
    <row r="186" ht="15.75" customHeight="1">
      <c r="A186" s="3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</row>
    <row r="187" ht="15.75" customHeight="1">
      <c r="A187" s="3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</row>
    <row r="188" ht="15.75" customHeight="1">
      <c r="A188" s="3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</row>
    <row r="189" ht="15.75" customHeight="1">
      <c r="A189" s="3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</row>
    <row r="190" ht="15.75" customHeight="1">
      <c r="A190" s="3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</row>
    <row r="191" ht="15.75" customHeight="1">
      <c r="A191" s="3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</row>
    <row r="192" ht="15.75" customHeight="1">
      <c r="A192" s="3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</row>
    <row r="193" ht="15.75" customHeight="1">
      <c r="A193" s="3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</row>
    <row r="194" ht="15.75" customHeight="1">
      <c r="A194" s="3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</row>
    <row r="195" ht="15.75" customHeight="1">
      <c r="A195" s="3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</row>
    <row r="196" ht="15.75" customHeight="1">
      <c r="A196" s="3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</row>
    <row r="197" ht="15.75" customHeight="1">
      <c r="A197" s="3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</row>
    <row r="198" ht="15.75" customHeight="1">
      <c r="A198" s="3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</row>
    <row r="199" ht="15.75" customHeight="1">
      <c r="A199" s="3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</row>
    <row r="200" ht="15.75" customHeight="1">
      <c r="A200" s="3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</row>
    <row r="201" ht="15.75" customHeight="1">
      <c r="A201" s="3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</row>
    <row r="202" ht="15.75" customHeight="1">
      <c r="A202" s="3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</row>
    <row r="203" ht="15.75" customHeight="1">
      <c r="A203" s="3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</row>
    <row r="204" ht="15.75" customHeight="1">
      <c r="A204" s="3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</row>
    <row r="205" ht="15.75" customHeight="1">
      <c r="A205" s="3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</row>
    <row r="206" ht="15.75" customHeight="1">
      <c r="A206" s="3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</row>
    <row r="207" ht="15.75" customHeight="1">
      <c r="A207" s="3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</row>
    <row r="208" ht="15.75" customHeight="1">
      <c r="A208" s="3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</row>
    <row r="209" ht="15.75" customHeight="1">
      <c r="A209" s="3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</row>
    <row r="210" ht="15.75" customHeight="1">
      <c r="A210" s="3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</row>
    <row r="211" ht="15.75" customHeight="1">
      <c r="A211" s="3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</row>
    <row r="212" ht="15.75" customHeight="1">
      <c r="A212" s="3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</row>
    <row r="213" ht="15.75" customHeight="1">
      <c r="A213" s="3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</row>
    <row r="214" ht="15.75" customHeight="1">
      <c r="A214" s="3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</row>
    <row r="215" ht="15.75" customHeight="1">
      <c r="A215" s="3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</row>
    <row r="216" ht="15.75" customHeight="1">
      <c r="A216" s="3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</row>
    <row r="217" ht="15.75" customHeight="1">
      <c r="A217" s="3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</row>
    <row r="218" ht="15.75" customHeight="1">
      <c r="A218" s="3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</row>
    <row r="219" ht="15.75" customHeight="1">
      <c r="A219" s="3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</row>
    <row r="220" ht="15.75" customHeight="1">
      <c r="A220" s="3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</row>
    <row r="221" ht="15.75" customHeight="1">
      <c r="A221" s="3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</row>
    <row r="222" ht="15.75" customHeight="1">
      <c r="A222" s="3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</row>
    <row r="223" ht="15.75" customHeight="1">
      <c r="A223" s="3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</row>
    <row r="224" ht="15.75" customHeight="1">
      <c r="A224" s="3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</row>
    <row r="225" ht="15.75" customHeight="1">
      <c r="A225" s="3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</row>
    <row r="226" ht="15.75" customHeight="1">
      <c r="A226" s="3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</row>
    <row r="227" ht="15.75" customHeight="1">
      <c r="A227" s="3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</row>
    <row r="228" ht="15.75" customHeight="1">
      <c r="A228" s="3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</row>
    <row r="229" ht="15.75" customHeight="1">
      <c r="A229" s="3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</row>
    <row r="230" ht="15.75" customHeight="1">
      <c r="A230" s="3"/>
      <c r="B230" s="115"/>
      <c r="C230" s="115"/>
      <c r="D230" s="115"/>
      <c r="E230" s="115"/>
      <c r="F230" s="115"/>
      <c r="G230" s="77"/>
      <c r="H230" s="77"/>
      <c r="I230" s="77"/>
      <c r="J230" s="77"/>
      <c r="K230" s="77"/>
      <c r="L230" s="77"/>
      <c r="M230" s="77"/>
      <c r="N230" s="115"/>
    </row>
    <row r="231" ht="15.75" customHeight="1">
      <c r="A231" s="3"/>
      <c r="B231" s="115"/>
      <c r="C231" s="115"/>
      <c r="D231" s="115"/>
      <c r="E231" s="115"/>
      <c r="F231" s="115"/>
      <c r="G231" s="77"/>
      <c r="H231" s="77"/>
      <c r="I231" s="77"/>
      <c r="J231" s="77"/>
      <c r="K231" s="77"/>
      <c r="L231" s="77"/>
      <c r="M231" s="77"/>
      <c r="N231" s="115"/>
    </row>
    <row r="232" ht="15.75" customHeight="1">
      <c r="A232" s="3"/>
      <c r="B232" s="3"/>
      <c r="C232" s="3"/>
      <c r="D232" s="3"/>
      <c r="E232" s="3"/>
      <c r="F232" s="3"/>
      <c r="N232" s="3"/>
    </row>
    <row r="233" ht="15.75" customHeight="1">
      <c r="A233" s="3"/>
      <c r="B233" s="3"/>
      <c r="C233" s="3"/>
      <c r="D233" s="3"/>
      <c r="E233" s="3"/>
      <c r="F233" s="3"/>
      <c r="N233" s="3"/>
    </row>
    <row r="234" ht="15.75" customHeight="1">
      <c r="A234" s="3"/>
      <c r="B234" s="3"/>
      <c r="C234" s="3"/>
      <c r="D234" s="3"/>
      <c r="E234" s="3"/>
      <c r="F234" s="3"/>
      <c r="N234" s="3"/>
    </row>
    <row r="235" ht="15.75" customHeight="1">
      <c r="A235" s="3"/>
      <c r="B235" s="3"/>
      <c r="C235" s="3"/>
      <c r="D235" s="3"/>
      <c r="E235" s="3"/>
      <c r="F235" s="3"/>
      <c r="N235" s="3"/>
    </row>
    <row r="236" ht="15.75" customHeight="1">
      <c r="A236" s="3"/>
      <c r="B236" s="3"/>
      <c r="C236" s="3"/>
      <c r="D236" s="3"/>
      <c r="E236" s="3"/>
      <c r="F236" s="3"/>
      <c r="N236" s="3"/>
    </row>
    <row r="237" ht="15.75" customHeight="1">
      <c r="A237" s="3"/>
      <c r="B237" s="3"/>
      <c r="C237" s="3"/>
      <c r="D237" s="3"/>
      <c r="E237" s="3"/>
      <c r="F237" s="3"/>
      <c r="N237" s="3"/>
    </row>
    <row r="238" ht="15.75" customHeight="1">
      <c r="A238" s="3"/>
      <c r="B238" s="3"/>
      <c r="C238" s="3"/>
      <c r="D238" s="3"/>
      <c r="E238" s="3"/>
      <c r="F238" s="3"/>
      <c r="N238" s="3"/>
    </row>
    <row r="239" ht="15.75" customHeight="1">
      <c r="A239" s="3"/>
      <c r="B239" s="3"/>
      <c r="C239" s="3"/>
      <c r="D239" s="3"/>
      <c r="E239" s="3"/>
      <c r="F239" s="3"/>
      <c r="N239" s="3"/>
    </row>
    <row r="240" ht="15.75" customHeight="1">
      <c r="A240" s="3"/>
      <c r="B240" s="3"/>
      <c r="C240" s="3"/>
      <c r="D240" s="3"/>
      <c r="E240" s="3"/>
      <c r="F240" s="3"/>
      <c r="N240" s="3"/>
    </row>
    <row r="241" ht="15.75" customHeight="1">
      <c r="A241" s="3"/>
      <c r="B241" s="3"/>
      <c r="C241" s="3"/>
      <c r="D241" s="3"/>
      <c r="E241" s="3"/>
      <c r="F241" s="3"/>
      <c r="N241" s="3"/>
    </row>
    <row r="242" ht="15.75" customHeight="1">
      <c r="A242" s="3"/>
      <c r="B242" s="3"/>
      <c r="C242" s="3"/>
      <c r="D242" s="3"/>
      <c r="E242" s="3"/>
      <c r="F242" s="3"/>
      <c r="N242" s="3"/>
    </row>
    <row r="243" ht="15.75" customHeight="1">
      <c r="A243" s="3"/>
      <c r="B243" s="3"/>
      <c r="C243" s="3"/>
      <c r="D243" s="3"/>
      <c r="E243" s="3"/>
      <c r="F243" s="3"/>
      <c r="N243" s="3"/>
    </row>
    <row r="244" ht="15.75" customHeight="1">
      <c r="A244" s="3"/>
      <c r="B244" s="3"/>
      <c r="C244" s="3"/>
      <c r="D244" s="3"/>
      <c r="E244" s="3"/>
      <c r="F244" s="3"/>
      <c r="N244" s="3"/>
    </row>
    <row r="245" ht="15.75" customHeight="1">
      <c r="A245" s="3"/>
      <c r="B245" s="3"/>
      <c r="C245" s="3"/>
      <c r="D245" s="3"/>
      <c r="E245" s="3"/>
      <c r="F245" s="3"/>
      <c r="N245" s="3"/>
    </row>
    <row r="246" ht="15.75" customHeight="1">
      <c r="A246" s="3"/>
      <c r="B246" s="3"/>
      <c r="C246" s="3"/>
      <c r="D246" s="3"/>
      <c r="E246" s="3"/>
      <c r="F246" s="3"/>
      <c r="N246" s="3"/>
    </row>
    <row r="247" ht="15.75" customHeight="1">
      <c r="A247" s="3"/>
      <c r="B247" s="3"/>
      <c r="C247" s="3"/>
      <c r="D247" s="3"/>
      <c r="E247" s="3"/>
      <c r="F247" s="3"/>
      <c r="N247" s="3"/>
    </row>
    <row r="248" ht="15.75" customHeight="1">
      <c r="A248" s="3"/>
      <c r="B248" s="3"/>
      <c r="C248" s="3"/>
      <c r="D248" s="3"/>
      <c r="E248" s="3"/>
      <c r="F248" s="3"/>
      <c r="N248" s="3"/>
    </row>
    <row r="249" ht="15.75" customHeight="1">
      <c r="A249" s="3"/>
      <c r="B249" s="3"/>
      <c r="C249" s="3"/>
      <c r="D249" s="3"/>
      <c r="E249" s="3"/>
      <c r="F249" s="3"/>
      <c r="N249" s="3"/>
    </row>
    <row r="250" ht="15.75" customHeight="1">
      <c r="A250" s="3"/>
      <c r="B250" s="3"/>
      <c r="C250" s="3"/>
      <c r="D250" s="3"/>
      <c r="E250" s="3"/>
      <c r="F250" s="3"/>
      <c r="N250" s="3"/>
    </row>
    <row r="251" ht="15.75" customHeight="1">
      <c r="A251" s="3"/>
      <c r="B251" s="3"/>
      <c r="C251" s="3"/>
      <c r="D251" s="3"/>
      <c r="E251" s="3"/>
      <c r="F251" s="3"/>
      <c r="N251" s="3"/>
    </row>
    <row r="252" ht="15.75" customHeight="1">
      <c r="A252" s="3"/>
      <c r="B252" s="3"/>
      <c r="C252" s="3"/>
      <c r="D252" s="3"/>
      <c r="E252" s="3"/>
      <c r="F252" s="3"/>
      <c r="N252" s="3"/>
    </row>
    <row r="253" ht="15.75" customHeight="1">
      <c r="A253" s="3"/>
      <c r="B253" s="3"/>
      <c r="C253" s="3"/>
      <c r="D253" s="3"/>
      <c r="E253" s="3"/>
      <c r="F253" s="3"/>
      <c r="N253" s="3"/>
    </row>
    <row r="254" ht="15.75" customHeight="1">
      <c r="A254" s="3"/>
      <c r="B254" s="3"/>
      <c r="C254" s="3"/>
      <c r="D254" s="3"/>
      <c r="E254" s="3"/>
      <c r="F254" s="3"/>
      <c r="N254" s="3"/>
    </row>
    <row r="255" ht="15.75" customHeight="1">
      <c r="A255" s="3"/>
      <c r="B255" s="3"/>
      <c r="C255" s="3"/>
      <c r="D255" s="3"/>
      <c r="E255" s="3"/>
      <c r="F255" s="3"/>
      <c r="N255" s="3"/>
    </row>
    <row r="256" ht="15.75" customHeight="1">
      <c r="A256" s="3"/>
      <c r="B256" s="3"/>
      <c r="C256" s="3"/>
      <c r="D256" s="3"/>
      <c r="E256" s="3"/>
      <c r="F256" s="3"/>
      <c r="N256" s="3"/>
    </row>
    <row r="257" ht="15.75" customHeight="1">
      <c r="A257" s="3"/>
      <c r="B257" s="3"/>
      <c r="C257" s="3"/>
      <c r="D257" s="3"/>
      <c r="E257" s="3"/>
      <c r="F257" s="3"/>
      <c r="N257" s="3"/>
    </row>
    <row r="258" ht="15.75" customHeight="1">
      <c r="A258" s="3"/>
      <c r="B258" s="3"/>
      <c r="C258" s="3"/>
      <c r="D258" s="3"/>
      <c r="E258" s="3"/>
      <c r="F258" s="3"/>
      <c r="N258" s="3"/>
    </row>
    <row r="259" ht="15.75" customHeight="1">
      <c r="A259" s="3"/>
      <c r="B259" s="3"/>
      <c r="C259" s="3"/>
      <c r="D259" s="3"/>
      <c r="E259" s="3"/>
      <c r="F259" s="3"/>
      <c r="N259" s="3"/>
    </row>
    <row r="260" ht="15.75" customHeight="1">
      <c r="A260" s="3"/>
      <c r="B260" s="3"/>
      <c r="C260" s="3"/>
      <c r="D260" s="3"/>
      <c r="E260" s="3"/>
      <c r="F260" s="3"/>
      <c r="N260" s="3"/>
    </row>
    <row r="261" ht="15.75" customHeight="1">
      <c r="A261" s="3"/>
      <c r="B261" s="3"/>
      <c r="C261" s="3"/>
      <c r="D261" s="3"/>
      <c r="E261" s="3"/>
      <c r="F261" s="3"/>
      <c r="N261" s="3"/>
    </row>
    <row r="262" ht="15.75" customHeight="1">
      <c r="A262" s="3"/>
      <c r="B262" s="3"/>
      <c r="C262" s="3"/>
      <c r="D262" s="3"/>
      <c r="E262" s="3"/>
      <c r="F262" s="3"/>
      <c r="N262" s="3"/>
    </row>
    <row r="263" ht="15.75" customHeight="1">
      <c r="A263" s="3"/>
      <c r="B263" s="3"/>
      <c r="C263" s="3"/>
      <c r="D263" s="3"/>
      <c r="E263" s="3"/>
      <c r="F263" s="3"/>
      <c r="N263" s="3"/>
    </row>
    <row r="264" ht="15.75" customHeight="1">
      <c r="A264" s="3"/>
      <c r="B264" s="3"/>
      <c r="C264" s="3"/>
      <c r="D264" s="3"/>
      <c r="E264" s="3"/>
      <c r="F264" s="3"/>
      <c r="N264" s="3"/>
    </row>
    <row r="265" ht="15.75" customHeight="1">
      <c r="A265" s="3"/>
      <c r="B265" s="3"/>
      <c r="C265" s="3"/>
      <c r="D265" s="3"/>
      <c r="E265" s="3"/>
      <c r="F265" s="3"/>
      <c r="N265" s="3"/>
    </row>
    <row r="266" ht="15.75" customHeight="1">
      <c r="A266" s="3"/>
      <c r="B266" s="3"/>
      <c r="C266" s="3"/>
      <c r="D266" s="3"/>
      <c r="E266" s="3"/>
      <c r="F266" s="3"/>
      <c r="N266" s="3"/>
    </row>
    <row r="267" ht="15.75" customHeight="1">
      <c r="A267" s="3"/>
      <c r="B267" s="3"/>
      <c r="C267" s="3"/>
      <c r="D267" s="3"/>
      <c r="E267" s="3"/>
      <c r="F267" s="3"/>
      <c r="N267" s="3"/>
    </row>
    <row r="268" ht="15.75" customHeight="1">
      <c r="A268" s="3"/>
      <c r="B268" s="3"/>
      <c r="C268" s="3"/>
      <c r="D268" s="3"/>
      <c r="E268" s="3"/>
      <c r="F268" s="3"/>
      <c r="N268" s="3"/>
    </row>
    <row r="269" ht="15.75" customHeight="1">
      <c r="A269" s="3"/>
      <c r="B269" s="3"/>
      <c r="C269" s="3"/>
      <c r="D269" s="3"/>
      <c r="E269" s="3"/>
      <c r="F269" s="3"/>
      <c r="N269" s="3"/>
    </row>
    <row r="270" ht="15.75" customHeight="1">
      <c r="A270" s="3"/>
      <c r="B270" s="3"/>
      <c r="C270" s="3"/>
      <c r="D270" s="3"/>
      <c r="E270" s="3"/>
      <c r="F270" s="3"/>
      <c r="N270" s="3"/>
    </row>
    <row r="271" ht="15.75" customHeight="1">
      <c r="A271" s="3"/>
      <c r="B271" s="3"/>
      <c r="C271" s="3"/>
      <c r="D271" s="3"/>
      <c r="E271" s="3"/>
      <c r="F271" s="3"/>
      <c r="N271" s="3"/>
    </row>
    <row r="272" ht="15.75" customHeight="1">
      <c r="A272" s="3"/>
      <c r="B272" s="3"/>
      <c r="C272" s="3"/>
      <c r="D272" s="3"/>
      <c r="E272" s="3"/>
      <c r="F272" s="3"/>
      <c r="N272" s="3"/>
    </row>
    <row r="273" ht="15.75" customHeight="1">
      <c r="A273" s="3"/>
      <c r="B273" s="3"/>
      <c r="C273" s="3"/>
      <c r="D273" s="3"/>
      <c r="E273" s="3"/>
      <c r="F273" s="3"/>
      <c r="N273" s="3"/>
    </row>
    <row r="274" ht="15.75" customHeight="1">
      <c r="A274" s="3"/>
      <c r="B274" s="3"/>
      <c r="C274" s="3"/>
      <c r="D274" s="3"/>
      <c r="E274" s="3"/>
      <c r="F274" s="3"/>
      <c r="N274" s="3"/>
    </row>
    <row r="275" ht="15.75" customHeight="1">
      <c r="A275" s="3"/>
      <c r="B275" s="3"/>
      <c r="C275" s="3"/>
      <c r="D275" s="3"/>
      <c r="E275" s="3"/>
      <c r="F275" s="3"/>
      <c r="N275" s="3"/>
    </row>
    <row r="276" ht="15.75" customHeight="1">
      <c r="A276" s="3"/>
      <c r="B276" s="3"/>
      <c r="C276" s="3"/>
      <c r="D276" s="3"/>
      <c r="E276" s="3"/>
      <c r="F276" s="3"/>
      <c r="N276" s="3"/>
    </row>
    <row r="277" ht="15.75" customHeight="1">
      <c r="A277" s="3"/>
      <c r="B277" s="3"/>
      <c r="C277" s="3"/>
      <c r="D277" s="3"/>
      <c r="E277" s="3"/>
      <c r="F277" s="3"/>
      <c r="N277" s="3"/>
    </row>
    <row r="278" ht="15.75" customHeight="1">
      <c r="A278" s="3"/>
      <c r="B278" s="3"/>
      <c r="C278" s="3"/>
      <c r="D278" s="3"/>
      <c r="E278" s="3"/>
      <c r="F278" s="3"/>
      <c r="N278" s="3"/>
    </row>
    <row r="279" ht="15.75" customHeight="1">
      <c r="A279" s="3"/>
      <c r="B279" s="3"/>
      <c r="C279" s="3"/>
      <c r="D279" s="3"/>
      <c r="E279" s="3"/>
      <c r="F279" s="3"/>
      <c r="N279" s="3"/>
    </row>
    <row r="280" ht="15.75" customHeight="1">
      <c r="A280" s="3"/>
      <c r="B280" s="3"/>
      <c r="C280" s="3"/>
      <c r="D280" s="3"/>
      <c r="E280" s="3"/>
      <c r="F280" s="3"/>
      <c r="N280" s="3"/>
    </row>
    <row r="281" ht="15.75" customHeight="1">
      <c r="A281" s="3"/>
      <c r="B281" s="3"/>
      <c r="C281" s="3"/>
      <c r="D281" s="3"/>
      <c r="E281" s="3"/>
      <c r="F281" s="3"/>
      <c r="N281" s="3"/>
    </row>
    <row r="282" ht="15.75" customHeight="1">
      <c r="A282" s="3"/>
      <c r="B282" s="3"/>
      <c r="C282" s="3"/>
      <c r="D282" s="3"/>
      <c r="E282" s="3"/>
      <c r="F282" s="3"/>
      <c r="N282" s="3"/>
    </row>
    <row r="283" ht="15.75" customHeight="1">
      <c r="A283" s="3"/>
      <c r="B283" s="3"/>
      <c r="C283" s="3"/>
      <c r="D283" s="3"/>
      <c r="E283" s="3"/>
      <c r="F283" s="3"/>
      <c r="N283" s="3"/>
    </row>
    <row r="284" ht="15.75" customHeight="1">
      <c r="A284" s="3"/>
      <c r="B284" s="3"/>
      <c r="C284" s="3"/>
      <c r="D284" s="3"/>
      <c r="E284" s="3"/>
      <c r="F284" s="3"/>
      <c r="N284" s="3"/>
    </row>
    <row r="285" ht="15.75" customHeight="1">
      <c r="A285" s="3"/>
      <c r="B285" s="3"/>
      <c r="C285" s="3"/>
      <c r="D285" s="3"/>
      <c r="E285" s="3"/>
      <c r="F285" s="3"/>
      <c r="N285" s="3"/>
    </row>
    <row r="286" ht="15.75" customHeight="1">
      <c r="A286" s="3"/>
      <c r="B286" s="3"/>
      <c r="C286" s="3"/>
      <c r="D286" s="3"/>
      <c r="E286" s="3"/>
      <c r="F286" s="3"/>
      <c r="N286" s="3"/>
    </row>
    <row r="287" ht="15.75" customHeight="1">
      <c r="A287" s="3"/>
      <c r="B287" s="3"/>
      <c r="C287" s="3"/>
      <c r="D287" s="3"/>
      <c r="E287" s="3"/>
      <c r="F287" s="3"/>
      <c r="N287" s="3"/>
    </row>
    <row r="288" ht="15.75" customHeight="1">
      <c r="A288" s="3"/>
      <c r="B288" s="3"/>
      <c r="C288" s="3"/>
      <c r="D288" s="3"/>
      <c r="E288" s="3"/>
      <c r="F288" s="3"/>
      <c r="N288" s="3"/>
    </row>
    <row r="289" ht="15.75" customHeight="1">
      <c r="A289" s="3"/>
      <c r="B289" s="3"/>
      <c r="C289" s="3"/>
      <c r="D289" s="3"/>
      <c r="E289" s="3"/>
      <c r="F289" s="3"/>
      <c r="N289" s="3"/>
    </row>
    <row r="290" ht="15.75" customHeight="1">
      <c r="A290" s="3"/>
      <c r="B290" s="3"/>
      <c r="C290" s="3"/>
      <c r="D290" s="3"/>
      <c r="E290" s="3"/>
      <c r="F290" s="3"/>
      <c r="N290" s="3"/>
    </row>
    <row r="291" ht="15.75" customHeight="1">
      <c r="A291" s="3"/>
      <c r="B291" s="3"/>
      <c r="C291" s="3"/>
      <c r="D291" s="3"/>
      <c r="E291" s="3"/>
      <c r="F291" s="3"/>
      <c r="N291" s="3"/>
    </row>
    <row r="292" ht="15.75" customHeight="1">
      <c r="A292" s="3"/>
      <c r="B292" s="3"/>
      <c r="C292" s="3"/>
      <c r="D292" s="3"/>
      <c r="E292" s="3"/>
      <c r="F292" s="3"/>
      <c r="N292" s="3"/>
    </row>
    <row r="293" ht="15.75" customHeight="1">
      <c r="A293" s="3"/>
      <c r="B293" s="3"/>
      <c r="C293" s="3"/>
      <c r="D293" s="3"/>
      <c r="E293" s="3"/>
      <c r="F293" s="3"/>
      <c r="N293" s="3"/>
    </row>
    <row r="294" ht="15.75" customHeight="1">
      <c r="A294" s="3"/>
      <c r="B294" s="3"/>
      <c r="C294" s="3"/>
      <c r="D294" s="3"/>
      <c r="E294" s="3"/>
      <c r="F294" s="3"/>
      <c r="N294" s="3"/>
    </row>
    <row r="295" ht="15.75" customHeight="1">
      <c r="A295" s="3"/>
      <c r="B295" s="3"/>
      <c r="C295" s="3"/>
      <c r="D295" s="3"/>
      <c r="E295" s="3"/>
      <c r="F295" s="3"/>
      <c r="N295" s="3"/>
    </row>
    <row r="296" ht="15.75" customHeight="1">
      <c r="A296" s="3"/>
      <c r="B296" s="3"/>
      <c r="C296" s="3"/>
      <c r="D296" s="3"/>
      <c r="E296" s="3"/>
      <c r="F296" s="3"/>
      <c r="N296" s="3"/>
    </row>
    <row r="297" ht="15.75" customHeight="1">
      <c r="A297" s="3"/>
      <c r="B297" s="3"/>
      <c r="C297" s="3"/>
      <c r="D297" s="3"/>
      <c r="E297" s="3"/>
      <c r="F297" s="3"/>
      <c r="N297" s="3"/>
    </row>
    <row r="298" ht="15.75" customHeight="1">
      <c r="A298" s="3"/>
      <c r="B298" s="3"/>
      <c r="C298" s="3"/>
      <c r="D298" s="3"/>
      <c r="E298" s="3"/>
      <c r="F298" s="3"/>
      <c r="N298" s="3"/>
    </row>
    <row r="299" ht="15.75" customHeight="1">
      <c r="A299" s="3"/>
      <c r="B299" s="3"/>
      <c r="C299" s="3"/>
      <c r="D299" s="3"/>
      <c r="E299" s="3"/>
      <c r="F299" s="3"/>
      <c r="N299" s="3"/>
    </row>
    <row r="300" ht="15.75" customHeight="1">
      <c r="A300" s="3"/>
      <c r="B300" s="3"/>
      <c r="C300" s="3"/>
      <c r="D300" s="3"/>
      <c r="E300" s="3"/>
      <c r="F300" s="3"/>
      <c r="N300" s="3"/>
    </row>
    <row r="301" ht="15.75" customHeight="1">
      <c r="A301" s="3"/>
      <c r="B301" s="3"/>
      <c r="C301" s="3"/>
      <c r="D301" s="3"/>
      <c r="E301" s="3"/>
      <c r="F301" s="3"/>
      <c r="N301" s="3"/>
    </row>
    <row r="302" ht="15.75" customHeight="1">
      <c r="A302" s="3"/>
      <c r="B302" s="3"/>
      <c r="C302" s="3"/>
      <c r="D302" s="3"/>
      <c r="E302" s="3"/>
      <c r="F302" s="3"/>
      <c r="N302" s="3"/>
    </row>
    <row r="303" ht="15.75" customHeight="1">
      <c r="A303" s="3"/>
      <c r="B303" s="3"/>
      <c r="C303" s="3"/>
      <c r="D303" s="3"/>
      <c r="E303" s="3"/>
      <c r="F303" s="3"/>
      <c r="N303" s="3"/>
    </row>
    <row r="304" ht="15.75" customHeight="1">
      <c r="A304" s="3"/>
      <c r="B304" s="3"/>
      <c r="C304" s="3"/>
      <c r="D304" s="3"/>
      <c r="E304" s="3"/>
      <c r="F304" s="3"/>
      <c r="N304" s="3"/>
    </row>
    <row r="305" ht="15.75" customHeight="1">
      <c r="A305" s="3"/>
      <c r="B305" s="3"/>
      <c r="C305" s="3"/>
      <c r="D305" s="3"/>
      <c r="E305" s="3"/>
      <c r="F305" s="3"/>
      <c r="N305" s="3"/>
    </row>
    <row r="306" ht="15.75" customHeight="1">
      <c r="A306" s="3"/>
      <c r="B306" s="3"/>
      <c r="C306" s="3"/>
      <c r="D306" s="3"/>
      <c r="E306" s="3"/>
      <c r="F306" s="3"/>
      <c r="N306" s="3"/>
    </row>
    <row r="307" ht="15.75" customHeight="1">
      <c r="A307" s="3"/>
      <c r="B307" s="3"/>
      <c r="C307" s="3"/>
      <c r="D307" s="3"/>
      <c r="E307" s="3"/>
      <c r="F307" s="3"/>
      <c r="N307" s="3"/>
    </row>
    <row r="308" ht="15.75" customHeight="1">
      <c r="A308" s="3"/>
      <c r="B308" s="3"/>
      <c r="C308" s="3"/>
      <c r="D308" s="3"/>
      <c r="E308" s="3"/>
      <c r="F308" s="3"/>
      <c r="N308" s="3"/>
    </row>
    <row r="309" ht="15.75" customHeight="1">
      <c r="A309" s="3"/>
      <c r="B309" s="3"/>
      <c r="C309" s="3"/>
      <c r="D309" s="3"/>
      <c r="E309" s="3"/>
      <c r="F309" s="3"/>
      <c r="N309" s="3"/>
    </row>
    <row r="310" ht="15.75" customHeight="1">
      <c r="A310" s="3"/>
      <c r="B310" s="3"/>
      <c r="C310" s="3"/>
      <c r="D310" s="3"/>
      <c r="E310" s="3"/>
      <c r="F310" s="3"/>
      <c r="N310" s="3"/>
    </row>
    <row r="311" ht="15.75" customHeight="1">
      <c r="A311" s="3"/>
      <c r="B311" s="3"/>
      <c r="C311" s="3"/>
      <c r="D311" s="3"/>
      <c r="E311" s="3"/>
      <c r="F311" s="3"/>
      <c r="N311" s="3"/>
    </row>
    <row r="312" ht="15.75" customHeight="1">
      <c r="A312" s="3"/>
      <c r="B312" s="3"/>
      <c r="C312" s="3"/>
      <c r="D312" s="3"/>
      <c r="E312" s="3"/>
      <c r="F312" s="3"/>
      <c r="N312" s="3"/>
    </row>
    <row r="313" ht="15.75" customHeight="1">
      <c r="A313" s="3"/>
      <c r="B313" s="3"/>
      <c r="C313" s="3"/>
      <c r="D313" s="3"/>
      <c r="E313" s="3"/>
      <c r="F313" s="3"/>
      <c r="N313" s="3"/>
    </row>
    <row r="314" ht="15.75" customHeight="1">
      <c r="A314" s="3"/>
      <c r="B314" s="3"/>
      <c r="C314" s="3"/>
      <c r="D314" s="3"/>
      <c r="E314" s="3"/>
      <c r="F314" s="3"/>
      <c r="N314" s="3"/>
    </row>
    <row r="315" ht="15.75" customHeight="1">
      <c r="A315" s="3"/>
      <c r="B315" s="3"/>
      <c r="C315" s="3"/>
      <c r="D315" s="3"/>
      <c r="E315" s="3"/>
      <c r="F315" s="3"/>
      <c r="N315" s="3"/>
    </row>
    <row r="316" ht="15.75" customHeight="1">
      <c r="A316" s="3"/>
      <c r="B316" s="3"/>
      <c r="C316" s="3"/>
      <c r="D316" s="3"/>
      <c r="E316" s="3"/>
      <c r="F316" s="3"/>
      <c r="N316" s="3"/>
    </row>
    <row r="317" ht="15.75" customHeight="1">
      <c r="A317" s="3"/>
      <c r="B317" s="3"/>
      <c r="C317" s="3"/>
      <c r="D317" s="3"/>
      <c r="E317" s="3"/>
      <c r="F317" s="3"/>
      <c r="N317" s="3"/>
    </row>
    <row r="318" ht="15.75" customHeight="1">
      <c r="A318" s="3"/>
      <c r="B318" s="3"/>
      <c r="C318" s="3"/>
      <c r="D318" s="3"/>
      <c r="E318" s="3"/>
      <c r="F318" s="3"/>
      <c r="N318" s="3"/>
    </row>
    <row r="319" ht="15.75" customHeight="1">
      <c r="A319" s="3"/>
      <c r="B319" s="3"/>
      <c r="C319" s="3"/>
      <c r="D319" s="3"/>
      <c r="E319" s="3"/>
      <c r="F319" s="3"/>
      <c r="N319" s="3"/>
    </row>
    <row r="320" ht="15.75" customHeight="1">
      <c r="A320" s="3"/>
      <c r="B320" s="3"/>
      <c r="C320" s="3"/>
      <c r="D320" s="3"/>
      <c r="E320" s="3"/>
      <c r="F320" s="3"/>
      <c r="N320" s="3"/>
    </row>
    <row r="321" ht="15.75" customHeight="1">
      <c r="A321" s="3"/>
      <c r="B321" s="3"/>
      <c r="C321" s="3"/>
      <c r="D321" s="3"/>
      <c r="E321" s="3"/>
      <c r="F321" s="3"/>
      <c r="N321" s="3"/>
    </row>
    <row r="322" ht="15.75" customHeight="1">
      <c r="A322" s="3"/>
      <c r="B322" s="3"/>
      <c r="C322" s="3"/>
      <c r="D322" s="3"/>
      <c r="E322" s="3"/>
      <c r="F322" s="3"/>
      <c r="N322" s="3"/>
    </row>
    <row r="323" ht="15.75" customHeight="1">
      <c r="A323" s="3"/>
      <c r="B323" s="3"/>
      <c r="C323" s="3"/>
      <c r="D323" s="3"/>
      <c r="E323" s="3"/>
      <c r="F323" s="3"/>
      <c r="N323" s="3"/>
    </row>
    <row r="324" ht="15.75" customHeight="1">
      <c r="A324" s="3"/>
      <c r="B324" s="3"/>
      <c r="C324" s="3"/>
      <c r="D324" s="3"/>
      <c r="E324" s="3"/>
      <c r="F324" s="3"/>
      <c r="N324" s="3"/>
    </row>
    <row r="325" ht="15.75" customHeight="1">
      <c r="A325" s="3"/>
      <c r="B325" s="3"/>
      <c r="C325" s="3"/>
      <c r="D325" s="3"/>
      <c r="E325" s="3"/>
      <c r="F325" s="3"/>
      <c r="N325" s="3"/>
    </row>
    <row r="326" ht="15.75" customHeight="1">
      <c r="A326" s="3"/>
      <c r="B326" s="3"/>
      <c r="C326" s="3"/>
      <c r="D326" s="3"/>
      <c r="E326" s="3"/>
      <c r="F326" s="3"/>
      <c r="N326" s="3"/>
    </row>
    <row r="327" ht="15.75" customHeight="1">
      <c r="A327" s="3"/>
      <c r="B327" s="3"/>
      <c r="C327" s="3"/>
      <c r="D327" s="3"/>
      <c r="E327" s="3"/>
      <c r="F327" s="3"/>
      <c r="N327" s="3"/>
    </row>
    <row r="328" ht="15.75" customHeight="1">
      <c r="A328" s="3"/>
      <c r="B328" s="3"/>
      <c r="C328" s="3"/>
      <c r="D328" s="3"/>
      <c r="E328" s="3"/>
      <c r="F328" s="3"/>
      <c r="N328" s="3"/>
    </row>
    <row r="329" ht="15.75" customHeight="1">
      <c r="A329" s="3"/>
      <c r="B329" s="3"/>
      <c r="C329" s="3"/>
      <c r="D329" s="3"/>
      <c r="E329" s="3"/>
      <c r="F329" s="3"/>
      <c r="N329" s="3"/>
    </row>
    <row r="330" ht="15.75" customHeight="1">
      <c r="A330" s="3"/>
      <c r="B330" s="3"/>
      <c r="C330" s="3"/>
      <c r="D330" s="3"/>
      <c r="E330" s="3"/>
      <c r="F330" s="3"/>
      <c r="N330" s="3"/>
    </row>
    <row r="331" ht="15.75" customHeight="1">
      <c r="A331" s="3"/>
      <c r="B331" s="3"/>
      <c r="C331" s="3"/>
      <c r="D331" s="3"/>
      <c r="E331" s="3"/>
      <c r="F331" s="3"/>
      <c r="N331" s="3"/>
    </row>
    <row r="332" ht="15.75" customHeight="1">
      <c r="A332" s="3"/>
      <c r="B332" s="3"/>
      <c r="C332" s="3"/>
      <c r="D332" s="3"/>
      <c r="E332" s="3"/>
      <c r="F332" s="3"/>
      <c r="N332" s="3"/>
    </row>
    <row r="333" ht="15.75" customHeight="1">
      <c r="A333" s="3"/>
      <c r="B333" s="3"/>
      <c r="C333" s="3"/>
      <c r="D333" s="3"/>
      <c r="E333" s="3"/>
      <c r="F333" s="3"/>
      <c r="N333" s="3"/>
    </row>
    <row r="334" ht="15.75" customHeight="1">
      <c r="A334" s="3"/>
      <c r="B334" s="3"/>
      <c r="C334" s="3"/>
      <c r="D334" s="3"/>
      <c r="E334" s="3"/>
      <c r="F334" s="3"/>
      <c r="N334" s="3"/>
    </row>
    <row r="335" ht="15.75" customHeight="1">
      <c r="A335" s="3"/>
      <c r="B335" s="3"/>
      <c r="C335" s="3"/>
      <c r="D335" s="3"/>
      <c r="E335" s="3"/>
      <c r="F335" s="3"/>
      <c r="N335" s="3"/>
    </row>
    <row r="336" ht="15.75" customHeight="1">
      <c r="A336" s="3"/>
      <c r="B336" s="3"/>
      <c r="C336" s="3"/>
      <c r="D336" s="3"/>
      <c r="E336" s="3"/>
      <c r="F336" s="3"/>
      <c r="N336" s="3"/>
    </row>
    <row r="337" ht="15.75" customHeight="1">
      <c r="A337" s="3"/>
      <c r="B337" s="3"/>
      <c r="C337" s="3"/>
      <c r="D337" s="3"/>
      <c r="E337" s="3"/>
      <c r="F337" s="3"/>
      <c r="N337" s="3"/>
    </row>
    <row r="338" ht="15.75" customHeight="1">
      <c r="A338" s="3"/>
      <c r="B338" s="3"/>
      <c r="C338" s="3"/>
      <c r="D338" s="3"/>
      <c r="E338" s="3"/>
      <c r="F338" s="3"/>
      <c r="N338" s="3"/>
    </row>
    <row r="339" ht="15.75" customHeight="1">
      <c r="A339" s="3"/>
      <c r="B339" s="3"/>
      <c r="C339" s="3"/>
      <c r="D339" s="3"/>
      <c r="E339" s="3"/>
      <c r="F339" s="3"/>
      <c r="N339" s="3"/>
    </row>
    <row r="340" ht="15.75" customHeight="1">
      <c r="A340" s="3"/>
      <c r="B340" s="3"/>
      <c r="C340" s="3"/>
      <c r="D340" s="3"/>
      <c r="E340" s="3"/>
      <c r="F340" s="3"/>
      <c r="N340" s="3"/>
    </row>
    <row r="341" ht="15.75" customHeight="1">
      <c r="A341" s="3"/>
      <c r="B341" s="3"/>
      <c r="C341" s="3"/>
      <c r="D341" s="3"/>
      <c r="E341" s="3"/>
      <c r="F341" s="3"/>
      <c r="N341" s="3"/>
    </row>
    <row r="342" ht="15.75" customHeight="1">
      <c r="A342" s="3"/>
      <c r="B342" s="3"/>
      <c r="C342" s="3"/>
      <c r="D342" s="3"/>
      <c r="E342" s="3"/>
      <c r="F342" s="3"/>
      <c r="N342" s="3"/>
    </row>
    <row r="343" ht="15.75" customHeight="1">
      <c r="A343" s="3"/>
      <c r="B343" s="3"/>
      <c r="C343" s="3"/>
      <c r="D343" s="3"/>
      <c r="E343" s="3"/>
      <c r="F343" s="3"/>
      <c r="N343" s="3"/>
    </row>
    <row r="344" ht="15.75" customHeight="1">
      <c r="A344" s="3"/>
      <c r="B344" s="3"/>
      <c r="C344" s="3"/>
      <c r="D344" s="3"/>
      <c r="E344" s="3"/>
      <c r="F344" s="3"/>
      <c r="N344" s="3"/>
    </row>
    <row r="345" ht="15.75" customHeight="1">
      <c r="A345" s="3"/>
      <c r="B345" s="3"/>
      <c r="C345" s="3"/>
      <c r="D345" s="3"/>
      <c r="E345" s="3"/>
      <c r="F345" s="3"/>
      <c r="N345" s="3"/>
    </row>
    <row r="346" ht="15.75" customHeight="1">
      <c r="A346" s="3"/>
      <c r="B346" s="3"/>
      <c r="C346" s="3"/>
      <c r="D346" s="3"/>
      <c r="E346" s="3"/>
      <c r="F346" s="3"/>
      <c r="N346" s="3"/>
    </row>
    <row r="347" ht="15.75" customHeight="1">
      <c r="A347" s="3"/>
      <c r="B347" s="3"/>
      <c r="C347" s="3"/>
      <c r="D347" s="3"/>
      <c r="E347" s="3"/>
      <c r="F347" s="3"/>
      <c r="N347" s="3"/>
    </row>
    <row r="348" ht="15.75" customHeight="1">
      <c r="A348" s="3"/>
      <c r="B348" s="3"/>
      <c r="C348" s="3"/>
      <c r="D348" s="3"/>
      <c r="E348" s="3"/>
      <c r="F348" s="3"/>
      <c r="N348" s="3"/>
    </row>
    <row r="349" ht="15.75" customHeight="1">
      <c r="A349" s="3"/>
      <c r="B349" s="3"/>
      <c r="C349" s="3"/>
      <c r="D349" s="3"/>
      <c r="E349" s="3"/>
      <c r="F349" s="3"/>
      <c r="N349" s="3"/>
    </row>
    <row r="350" ht="15.75" customHeight="1">
      <c r="A350" s="3"/>
      <c r="B350" s="3"/>
      <c r="C350" s="3"/>
      <c r="D350" s="3"/>
      <c r="E350" s="3"/>
      <c r="F350" s="3"/>
      <c r="N350" s="3"/>
    </row>
    <row r="351" ht="15.75" customHeight="1">
      <c r="A351" s="3"/>
      <c r="B351" s="3"/>
      <c r="C351" s="3"/>
      <c r="D351" s="3"/>
      <c r="E351" s="3"/>
      <c r="F351" s="3"/>
      <c r="N351" s="3"/>
    </row>
    <row r="352" ht="15.75" customHeight="1">
      <c r="A352" s="3"/>
      <c r="B352" s="3"/>
      <c r="C352" s="3"/>
      <c r="D352" s="3"/>
      <c r="E352" s="3"/>
      <c r="F352" s="3"/>
      <c r="N352" s="3"/>
    </row>
    <row r="353" ht="15.75" customHeight="1">
      <c r="A353" s="3"/>
      <c r="B353" s="3"/>
      <c r="C353" s="3"/>
      <c r="D353" s="3"/>
      <c r="E353" s="3"/>
      <c r="F353" s="3"/>
      <c r="N353" s="3"/>
    </row>
    <row r="354" ht="15.75" customHeight="1">
      <c r="A354" s="3"/>
      <c r="B354" s="3"/>
      <c r="C354" s="3"/>
      <c r="D354" s="3"/>
      <c r="E354" s="3"/>
      <c r="F354" s="3"/>
      <c r="N354" s="3"/>
    </row>
    <row r="355" ht="15.75" customHeight="1">
      <c r="A355" s="3"/>
      <c r="B355" s="3"/>
      <c r="C355" s="3"/>
      <c r="D355" s="3"/>
      <c r="E355" s="3"/>
      <c r="F355" s="3"/>
      <c r="N355" s="3"/>
    </row>
    <row r="356" ht="15.75" customHeight="1">
      <c r="A356" s="3"/>
      <c r="B356" s="3"/>
      <c r="C356" s="3"/>
      <c r="D356" s="3"/>
      <c r="E356" s="3"/>
      <c r="F356" s="3"/>
      <c r="N356" s="3"/>
    </row>
    <row r="357" ht="15.75" customHeight="1">
      <c r="A357" s="3"/>
      <c r="B357" s="3"/>
      <c r="C357" s="3"/>
      <c r="D357" s="3"/>
      <c r="E357" s="3"/>
      <c r="F357" s="3"/>
      <c r="N357" s="3"/>
    </row>
    <row r="358" ht="15.75" customHeight="1">
      <c r="A358" s="3"/>
      <c r="B358" s="3"/>
      <c r="C358" s="3"/>
      <c r="D358" s="3"/>
      <c r="E358" s="3"/>
      <c r="F358" s="3"/>
      <c r="N358" s="3"/>
    </row>
    <row r="359" ht="15.75" customHeight="1">
      <c r="A359" s="3"/>
      <c r="B359" s="3"/>
      <c r="C359" s="3"/>
      <c r="D359" s="3"/>
      <c r="E359" s="3"/>
      <c r="F359" s="3"/>
      <c r="N359" s="3"/>
    </row>
    <row r="360" ht="15.75" customHeight="1">
      <c r="A360" s="3"/>
      <c r="B360" s="3"/>
      <c r="C360" s="3"/>
      <c r="D360" s="3"/>
      <c r="E360" s="3"/>
      <c r="F360" s="3"/>
      <c r="N360" s="3"/>
    </row>
    <row r="361" ht="15.75" customHeight="1">
      <c r="A361" s="3"/>
      <c r="B361" s="3"/>
      <c r="C361" s="3"/>
      <c r="D361" s="3"/>
      <c r="E361" s="3"/>
      <c r="F361" s="3"/>
      <c r="N361" s="3"/>
    </row>
    <row r="362" ht="15.75" customHeight="1">
      <c r="A362" s="3"/>
      <c r="B362" s="3"/>
      <c r="C362" s="3"/>
      <c r="D362" s="3"/>
      <c r="E362" s="3"/>
      <c r="F362" s="3"/>
      <c r="N362" s="3"/>
    </row>
    <row r="363" ht="15.75" customHeight="1">
      <c r="A363" s="3"/>
      <c r="B363" s="3"/>
      <c r="C363" s="3"/>
      <c r="D363" s="3"/>
      <c r="E363" s="3"/>
      <c r="F363" s="3"/>
      <c r="N363" s="3"/>
    </row>
    <row r="364" ht="15.75" customHeight="1">
      <c r="A364" s="3"/>
      <c r="B364" s="3"/>
      <c r="C364" s="3"/>
      <c r="D364" s="3"/>
      <c r="E364" s="3"/>
      <c r="F364" s="3"/>
      <c r="N364" s="3"/>
    </row>
    <row r="365" ht="15.75" customHeight="1">
      <c r="A365" s="3"/>
      <c r="B365" s="3"/>
      <c r="C365" s="3"/>
      <c r="D365" s="3"/>
      <c r="E365" s="3"/>
      <c r="F365" s="3"/>
      <c r="N365" s="3"/>
    </row>
    <row r="366" ht="15.75" customHeight="1">
      <c r="A366" s="3"/>
      <c r="B366" s="3"/>
      <c r="C366" s="3"/>
      <c r="D366" s="3"/>
      <c r="E366" s="3"/>
      <c r="F366" s="3"/>
      <c r="N366" s="3"/>
    </row>
    <row r="367" ht="15.75" customHeight="1">
      <c r="A367" s="3"/>
      <c r="B367" s="3"/>
      <c r="C367" s="3"/>
      <c r="D367" s="3"/>
      <c r="E367" s="3"/>
      <c r="F367" s="3"/>
      <c r="N367" s="3"/>
    </row>
    <row r="368" ht="15.75" customHeight="1">
      <c r="A368" s="3"/>
      <c r="B368" s="3"/>
      <c r="C368" s="3"/>
      <c r="D368" s="3"/>
      <c r="E368" s="3"/>
      <c r="F368" s="3"/>
      <c r="N368" s="3"/>
    </row>
    <row r="369" ht="15.75" customHeight="1">
      <c r="A369" s="3"/>
      <c r="B369" s="3"/>
      <c r="C369" s="3"/>
      <c r="D369" s="3"/>
      <c r="E369" s="3"/>
      <c r="F369" s="3"/>
      <c r="N369" s="3"/>
    </row>
    <row r="370" ht="15.75" customHeight="1">
      <c r="A370" s="3"/>
      <c r="B370" s="3"/>
      <c r="C370" s="3"/>
      <c r="D370" s="3"/>
      <c r="E370" s="3"/>
      <c r="F370" s="3"/>
      <c r="N370" s="3"/>
    </row>
    <row r="371" ht="15.75" customHeight="1">
      <c r="A371" s="3"/>
      <c r="B371" s="3"/>
      <c r="C371" s="3"/>
      <c r="D371" s="3"/>
      <c r="E371" s="3"/>
      <c r="F371" s="3"/>
      <c r="N371" s="3"/>
    </row>
    <row r="372" ht="15.75" customHeight="1">
      <c r="A372" s="3"/>
      <c r="B372" s="3"/>
      <c r="C372" s="3"/>
      <c r="D372" s="3"/>
      <c r="E372" s="3"/>
      <c r="F372" s="3"/>
      <c r="N372" s="3"/>
    </row>
    <row r="373" ht="15.75" customHeight="1">
      <c r="A373" s="3"/>
      <c r="B373" s="3"/>
      <c r="C373" s="3"/>
      <c r="D373" s="3"/>
      <c r="E373" s="3"/>
      <c r="F373" s="3"/>
      <c r="N373" s="3"/>
    </row>
    <row r="374" ht="15.75" customHeight="1">
      <c r="A374" s="3"/>
      <c r="B374" s="3"/>
      <c r="C374" s="3"/>
      <c r="D374" s="3"/>
      <c r="E374" s="3"/>
      <c r="F374" s="3"/>
      <c r="N374" s="3"/>
    </row>
    <row r="375" ht="15.75" customHeight="1">
      <c r="A375" s="3"/>
      <c r="B375" s="3"/>
      <c r="C375" s="3"/>
      <c r="D375" s="3"/>
      <c r="E375" s="3"/>
      <c r="F375" s="3"/>
      <c r="N375" s="3"/>
    </row>
    <row r="376" ht="15.75" customHeight="1">
      <c r="A376" s="3"/>
      <c r="B376" s="3"/>
      <c r="C376" s="3"/>
      <c r="D376" s="3"/>
      <c r="E376" s="3"/>
      <c r="F376" s="3"/>
      <c r="N376" s="3"/>
    </row>
    <row r="377" ht="15.75" customHeight="1">
      <c r="A377" s="3"/>
      <c r="B377" s="3"/>
      <c r="C377" s="3"/>
      <c r="D377" s="3"/>
      <c r="E377" s="3"/>
      <c r="F377" s="3"/>
      <c r="N377" s="3"/>
    </row>
    <row r="378" ht="15.75" customHeight="1">
      <c r="A378" s="3"/>
      <c r="B378" s="3"/>
      <c r="C378" s="3"/>
      <c r="D378" s="3"/>
      <c r="E378" s="3"/>
      <c r="F378" s="3"/>
      <c r="N378" s="3"/>
    </row>
    <row r="379" ht="15.75" customHeight="1">
      <c r="A379" s="3"/>
      <c r="B379" s="3"/>
      <c r="C379" s="3"/>
      <c r="D379" s="3"/>
      <c r="E379" s="3"/>
      <c r="F379" s="3"/>
      <c r="N379" s="3"/>
    </row>
    <row r="380" ht="15.75" customHeight="1">
      <c r="A380" s="3"/>
      <c r="B380" s="3"/>
      <c r="C380" s="3"/>
      <c r="D380" s="3"/>
      <c r="E380" s="3"/>
      <c r="F380" s="3"/>
      <c r="N380" s="3"/>
    </row>
    <row r="381" ht="15.75" customHeight="1">
      <c r="A381" s="3"/>
      <c r="B381" s="3"/>
      <c r="C381" s="3"/>
      <c r="D381" s="3"/>
      <c r="E381" s="3"/>
      <c r="F381" s="3"/>
      <c r="N381" s="3"/>
    </row>
    <row r="382" ht="15.75" customHeight="1">
      <c r="A382" s="3"/>
      <c r="B382" s="3"/>
      <c r="C382" s="3"/>
      <c r="D382" s="3"/>
      <c r="E382" s="3"/>
      <c r="F382" s="3"/>
      <c r="N382" s="3"/>
    </row>
    <row r="383" ht="15.75" customHeight="1">
      <c r="A383" s="3"/>
      <c r="B383" s="3"/>
      <c r="C383" s="3"/>
      <c r="D383" s="3"/>
      <c r="E383" s="3"/>
      <c r="F383" s="3"/>
      <c r="N383" s="3"/>
    </row>
    <row r="384" ht="15.75" customHeight="1">
      <c r="A384" s="3"/>
      <c r="B384" s="3"/>
      <c r="C384" s="3"/>
      <c r="D384" s="3"/>
      <c r="E384" s="3"/>
      <c r="F384" s="3"/>
      <c r="N384" s="3"/>
    </row>
    <row r="385" ht="15.75" customHeight="1">
      <c r="A385" s="3"/>
      <c r="B385" s="3"/>
      <c r="C385" s="3"/>
      <c r="D385" s="3"/>
      <c r="E385" s="3"/>
      <c r="F385" s="3"/>
      <c r="N385" s="3"/>
    </row>
    <row r="386" ht="15.75" customHeight="1">
      <c r="A386" s="3"/>
      <c r="B386" s="3"/>
      <c r="C386" s="3"/>
      <c r="D386" s="3"/>
      <c r="E386" s="3"/>
      <c r="F386" s="3"/>
      <c r="N386" s="3"/>
    </row>
    <row r="387" ht="15.75" customHeight="1">
      <c r="A387" s="3"/>
      <c r="B387" s="3"/>
      <c r="C387" s="3"/>
      <c r="D387" s="3"/>
      <c r="E387" s="3"/>
      <c r="F387" s="3"/>
      <c r="N387" s="3"/>
    </row>
    <row r="388" ht="15.75" customHeight="1">
      <c r="A388" s="3"/>
      <c r="B388" s="3"/>
      <c r="C388" s="3"/>
      <c r="D388" s="3"/>
      <c r="E388" s="3"/>
      <c r="F388" s="3"/>
      <c r="N388" s="3"/>
    </row>
    <row r="389" ht="15.75" customHeight="1">
      <c r="A389" s="3"/>
      <c r="B389" s="3"/>
      <c r="C389" s="3"/>
      <c r="D389" s="3"/>
      <c r="E389" s="3"/>
      <c r="F389" s="3"/>
      <c r="N389" s="3"/>
    </row>
    <row r="390" ht="15.75" customHeight="1">
      <c r="A390" s="3"/>
      <c r="B390" s="3"/>
      <c r="C390" s="3"/>
      <c r="D390" s="3"/>
      <c r="E390" s="3"/>
      <c r="F390" s="3"/>
      <c r="N390" s="3"/>
    </row>
    <row r="391" ht="15.75" customHeight="1">
      <c r="A391" s="3"/>
      <c r="B391" s="3"/>
      <c r="C391" s="3"/>
      <c r="D391" s="3"/>
      <c r="E391" s="3"/>
      <c r="F391" s="3"/>
      <c r="N391" s="3"/>
    </row>
    <row r="392" ht="15.75" customHeight="1">
      <c r="A392" s="3"/>
      <c r="B392" s="3"/>
      <c r="C392" s="3"/>
      <c r="D392" s="3"/>
      <c r="E392" s="3"/>
      <c r="F392" s="3"/>
      <c r="N392" s="3"/>
    </row>
    <row r="393" ht="15.75" customHeight="1">
      <c r="A393" s="3"/>
      <c r="B393" s="3"/>
      <c r="C393" s="3"/>
      <c r="D393" s="3"/>
      <c r="E393" s="3"/>
      <c r="F393" s="3"/>
      <c r="N393" s="3"/>
    </row>
    <row r="394" ht="15.75" customHeight="1">
      <c r="A394" s="3"/>
      <c r="B394" s="3"/>
      <c r="C394" s="3"/>
      <c r="D394" s="3"/>
      <c r="E394" s="3"/>
      <c r="F394" s="3"/>
      <c r="N394" s="3"/>
    </row>
    <row r="395" ht="15.75" customHeight="1">
      <c r="A395" s="3"/>
      <c r="B395" s="3"/>
      <c r="C395" s="3"/>
      <c r="D395" s="3"/>
      <c r="E395" s="3"/>
      <c r="F395" s="3"/>
      <c r="N395" s="3"/>
    </row>
    <row r="396" ht="15.75" customHeight="1">
      <c r="A396" s="3"/>
      <c r="B396" s="3"/>
      <c r="C396" s="3"/>
      <c r="D396" s="3"/>
      <c r="E396" s="3"/>
      <c r="F396" s="3"/>
      <c r="N396" s="3"/>
    </row>
    <row r="397" ht="15.75" customHeight="1">
      <c r="A397" s="3"/>
      <c r="B397" s="3"/>
      <c r="C397" s="3"/>
      <c r="D397" s="3"/>
      <c r="E397" s="3"/>
      <c r="F397" s="3"/>
      <c r="N397" s="3"/>
    </row>
    <row r="398" ht="15.75" customHeight="1">
      <c r="A398" s="3"/>
      <c r="B398" s="3"/>
      <c r="C398" s="3"/>
      <c r="D398" s="3"/>
      <c r="E398" s="3"/>
      <c r="F398" s="3"/>
      <c r="N398" s="3"/>
    </row>
    <row r="399" ht="15.75" customHeight="1">
      <c r="A399" s="3"/>
      <c r="B399" s="3"/>
      <c r="C399" s="3"/>
      <c r="D399" s="3"/>
      <c r="E399" s="3"/>
      <c r="F399" s="3"/>
      <c r="N399" s="3"/>
    </row>
    <row r="400" ht="15.75" customHeight="1">
      <c r="A400" s="3"/>
      <c r="B400" s="3"/>
      <c r="C400" s="3"/>
      <c r="D400" s="3"/>
      <c r="E400" s="3"/>
      <c r="F400" s="3"/>
      <c r="N400" s="3"/>
    </row>
    <row r="401" ht="15.75" customHeight="1">
      <c r="A401" s="3"/>
      <c r="B401" s="3"/>
      <c r="C401" s="3"/>
      <c r="D401" s="3"/>
      <c r="E401" s="3"/>
      <c r="F401" s="3"/>
      <c r="N401" s="3"/>
    </row>
    <row r="402" ht="15.75" customHeight="1">
      <c r="A402" s="3"/>
      <c r="B402" s="3"/>
      <c r="C402" s="3"/>
      <c r="D402" s="3"/>
      <c r="E402" s="3"/>
      <c r="F402" s="3"/>
      <c r="N402" s="3"/>
    </row>
    <row r="403" ht="15.75" customHeight="1">
      <c r="A403" s="3"/>
      <c r="B403" s="3"/>
      <c r="C403" s="3"/>
      <c r="D403" s="3"/>
      <c r="E403" s="3"/>
      <c r="F403" s="3"/>
      <c r="N403" s="3"/>
    </row>
    <row r="404" ht="15.75" customHeight="1">
      <c r="A404" s="3"/>
      <c r="B404" s="3"/>
      <c r="C404" s="3"/>
      <c r="D404" s="3"/>
      <c r="E404" s="3"/>
      <c r="F404" s="3"/>
      <c r="N404" s="3"/>
    </row>
    <row r="405" ht="15.75" customHeight="1">
      <c r="A405" s="3"/>
      <c r="B405" s="3"/>
      <c r="C405" s="3"/>
      <c r="D405" s="3"/>
      <c r="E405" s="3"/>
      <c r="F405" s="3"/>
      <c r="N405" s="3"/>
    </row>
    <row r="406" ht="15.75" customHeight="1">
      <c r="A406" s="3"/>
      <c r="B406" s="3"/>
      <c r="C406" s="3"/>
      <c r="D406" s="3"/>
      <c r="E406" s="3"/>
      <c r="F406" s="3"/>
      <c r="N406" s="3"/>
    </row>
    <row r="407" ht="15.75" customHeight="1">
      <c r="A407" s="3"/>
      <c r="B407" s="3"/>
      <c r="C407" s="3"/>
      <c r="D407" s="3"/>
      <c r="E407" s="3"/>
      <c r="F407" s="3"/>
      <c r="N407" s="3"/>
    </row>
    <row r="408" ht="15.75" customHeight="1">
      <c r="A408" s="3"/>
      <c r="B408" s="3"/>
      <c r="C408" s="3"/>
      <c r="D408" s="3"/>
      <c r="E408" s="3"/>
      <c r="F408" s="3"/>
      <c r="N408" s="3"/>
    </row>
    <row r="409" ht="15.75" customHeight="1">
      <c r="A409" s="3"/>
      <c r="B409" s="3"/>
      <c r="C409" s="3"/>
      <c r="D409" s="3"/>
      <c r="E409" s="3"/>
      <c r="F409" s="3"/>
      <c r="N409" s="3"/>
    </row>
    <row r="410" ht="15.75" customHeight="1">
      <c r="A410" s="3"/>
      <c r="B410" s="3"/>
      <c r="C410" s="3"/>
      <c r="D410" s="3"/>
      <c r="E410" s="3"/>
      <c r="F410" s="3"/>
      <c r="N410" s="3"/>
    </row>
    <row r="411" ht="15.75" customHeight="1">
      <c r="A411" s="3"/>
      <c r="B411" s="3"/>
      <c r="C411" s="3"/>
      <c r="D411" s="3"/>
      <c r="E411" s="3"/>
      <c r="F411" s="3"/>
      <c r="N411" s="3"/>
    </row>
    <row r="412" ht="15.75" customHeight="1">
      <c r="A412" s="3"/>
      <c r="B412" s="3"/>
      <c r="C412" s="3"/>
      <c r="D412" s="3"/>
      <c r="E412" s="3"/>
      <c r="F412" s="3"/>
      <c r="N412" s="3"/>
    </row>
    <row r="413" ht="15.75" customHeight="1">
      <c r="A413" s="3"/>
      <c r="B413" s="3"/>
      <c r="C413" s="3"/>
      <c r="D413" s="3"/>
      <c r="E413" s="3"/>
      <c r="F413" s="3"/>
      <c r="N413" s="3"/>
    </row>
    <row r="414" ht="15.75" customHeight="1">
      <c r="A414" s="3"/>
      <c r="B414" s="3"/>
      <c r="C414" s="3"/>
      <c r="D414" s="3"/>
      <c r="E414" s="3"/>
      <c r="F414" s="3"/>
      <c r="N414" s="3"/>
    </row>
    <row r="415" ht="15.75" customHeight="1">
      <c r="A415" s="3"/>
      <c r="B415" s="3"/>
      <c r="C415" s="3"/>
      <c r="D415" s="3"/>
      <c r="E415" s="3"/>
      <c r="F415" s="3"/>
      <c r="N415" s="3"/>
    </row>
    <row r="416" ht="15.75" customHeight="1">
      <c r="A416" s="3"/>
      <c r="B416" s="3"/>
      <c r="C416" s="3"/>
      <c r="D416" s="3"/>
      <c r="E416" s="3"/>
      <c r="F416" s="3"/>
      <c r="N416" s="3"/>
    </row>
    <row r="417" ht="15.75" customHeight="1">
      <c r="A417" s="3"/>
      <c r="B417" s="3"/>
      <c r="C417" s="3"/>
      <c r="D417" s="3"/>
      <c r="E417" s="3"/>
      <c r="F417" s="3"/>
      <c r="N417" s="3"/>
    </row>
    <row r="418" ht="15.75" customHeight="1">
      <c r="A418" s="3"/>
      <c r="B418" s="3"/>
      <c r="C418" s="3"/>
      <c r="D418" s="3"/>
      <c r="E418" s="3"/>
      <c r="F418" s="3"/>
      <c r="N418" s="3"/>
    </row>
    <row r="419" ht="15.75" customHeight="1">
      <c r="A419" s="3"/>
      <c r="B419" s="3"/>
      <c r="C419" s="3"/>
      <c r="D419" s="3"/>
      <c r="E419" s="3"/>
      <c r="F419" s="3"/>
      <c r="N419" s="3"/>
    </row>
    <row r="420" ht="15.75" customHeight="1">
      <c r="A420" s="3"/>
      <c r="B420" s="3"/>
      <c r="C420" s="3"/>
      <c r="D420" s="3"/>
      <c r="E420" s="3"/>
      <c r="F420" s="3"/>
      <c r="N420" s="3"/>
    </row>
    <row r="421" ht="15.75" customHeight="1">
      <c r="A421" s="3"/>
      <c r="B421" s="3"/>
      <c r="C421" s="3"/>
      <c r="D421" s="3"/>
      <c r="E421" s="3"/>
      <c r="F421" s="3"/>
      <c r="N421" s="3"/>
    </row>
    <row r="422" ht="15.75" customHeight="1">
      <c r="A422" s="3"/>
      <c r="B422" s="3"/>
      <c r="C422" s="3"/>
      <c r="D422" s="3"/>
      <c r="E422" s="3"/>
      <c r="F422" s="3"/>
      <c r="N422" s="3"/>
    </row>
    <row r="423" ht="15.75" customHeight="1">
      <c r="A423" s="3"/>
      <c r="B423" s="3"/>
      <c r="C423" s="3"/>
      <c r="D423" s="3"/>
      <c r="E423" s="3"/>
      <c r="F423" s="3"/>
      <c r="N423" s="3"/>
    </row>
    <row r="424" ht="15.75" customHeight="1">
      <c r="A424" s="3"/>
      <c r="B424" s="3"/>
      <c r="C424" s="3"/>
      <c r="D424" s="3"/>
      <c r="E424" s="3"/>
      <c r="F424" s="3"/>
      <c r="N424" s="3"/>
    </row>
    <row r="425" ht="15.75" customHeight="1">
      <c r="A425" s="3"/>
      <c r="B425" s="3"/>
      <c r="C425" s="3"/>
      <c r="D425" s="3"/>
      <c r="E425" s="3"/>
      <c r="F425" s="3"/>
      <c r="N425" s="3"/>
    </row>
    <row r="426" ht="15.75" customHeight="1">
      <c r="A426" s="3"/>
      <c r="B426" s="3"/>
      <c r="C426" s="3"/>
      <c r="D426" s="3"/>
      <c r="E426" s="3"/>
      <c r="F426" s="3"/>
      <c r="N426" s="3"/>
    </row>
    <row r="427" ht="15.75" customHeight="1">
      <c r="A427" s="3"/>
      <c r="B427" s="3"/>
      <c r="C427" s="3"/>
      <c r="D427" s="3"/>
      <c r="E427" s="3"/>
      <c r="F427" s="3"/>
      <c r="N427" s="3"/>
    </row>
    <row r="428" ht="15.75" customHeight="1">
      <c r="A428" s="3"/>
      <c r="B428" s="3"/>
      <c r="C428" s="3"/>
      <c r="D428" s="3"/>
      <c r="E428" s="3"/>
      <c r="F428" s="3"/>
      <c r="N428" s="3"/>
    </row>
    <row r="429" ht="15.75" customHeight="1">
      <c r="A429" s="3"/>
      <c r="B429" s="3"/>
      <c r="C429" s="3"/>
      <c r="D429" s="3"/>
      <c r="E429" s="3"/>
      <c r="F429" s="3"/>
      <c r="N429" s="3"/>
    </row>
    <row r="430" ht="15.75" customHeight="1">
      <c r="A430" s="3"/>
      <c r="B430" s="3"/>
      <c r="C430" s="3"/>
      <c r="D430" s="3"/>
      <c r="E430" s="3"/>
      <c r="F430" s="3"/>
      <c r="N430" s="3"/>
    </row>
    <row r="431" ht="15.75" customHeight="1">
      <c r="A431" s="3"/>
      <c r="B431" s="3"/>
      <c r="C431" s="3"/>
      <c r="D431" s="3"/>
      <c r="E431" s="3"/>
      <c r="F431" s="3"/>
      <c r="N431" s="3"/>
    </row>
    <row r="432" ht="15.75" customHeight="1">
      <c r="A432" s="3"/>
      <c r="B432" s="3"/>
      <c r="C432" s="3"/>
      <c r="D432" s="3"/>
      <c r="E432" s="3"/>
      <c r="F432" s="3"/>
      <c r="N432" s="3"/>
    </row>
    <row r="433" ht="15.75" customHeight="1">
      <c r="A433" s="3"/>
      <c r="B433" s="3"/>
      <c r="C433" s="3"/>
      <c r="D433" s="3"/>
      <c r="E433" s="3"/>
      <c r="F433" s="3"/>
      <c r="N433" s="3"/>
    </row>
    <row r="434" ht="15.75" customHeight="1">
      <c r="A434" s="3"/>
      <c r="B434" s="3"/>
      <c r="C434" s="3"/>
      <c r="D434" s="3"/>
      <c r="E434" s="3"/>
      <c r="F434" s="3"/>
      <c r="N434" s="3"/>
    </row>
    <row r="435" ht="15.75" customHeight="1">
      <c r="A435" s="3"/>
      <c r="B435" s="3"/>
      <c r="C435" s="3"/>
      <c r="D435" s="3"/>
      <c r="E435" s="3"/>
      <c r="F435" s="3"/>
      <c r="N435" s="3"/>
    </row>
    <row r="436" ht="15.75" customHeight="1">
      <c r="A436" s="3"/>
      <c r="B436" s="3"/>
      <c r="C436" s="3"/>
      <c r="D436" s="3"/>
      <c r="E436" s="3"/>
      <c r="F436" s="3"/>
      <c r="N436" s="3"/>
    </row>
    <row r="437" ht="15.75" customHeight="1">
      <c r="A437" s="3"/>
      <c r="B437" s="3"/>
      <c r="C437" s="3"/>
      <c r="D437" s="3"/>
      <c r="E437" s="3"/>
      <c r="F437" s="3"/>
      <c r="N437" s="3"/>
    </row>
    <row r="438" ht="15.75" customHeight="1">
      <c r="A438" s="3"/>
      <c r="B438" s="3"/>
      <c r="C438" s="3"/>
      <c r="D438" s="3"/>
      <c r="E438" s="3"/>
      <c r="F438" s="3"/>
      <c r="N438" s="3"/>
    </row>
    <row r="439" ht="15.75" customHeight="1">
      <c r="A439" s="3"/>
      <c r="B439" s="3"/>
      <c r="C439" s="3"/>
      <c r="D439" s="3"/>
      <c r="E439" s="3"/>
      <c r="F439" s="3"/>
      <c r="N439" s="3"/>
    </row>
    <row r="440" ht="15.75" customHeight="1">
      <c r="A440" s="3"/>
      <c r="B440" s="3"/>
      <c r="C440" s="3"/>
      <c r="D440" s="3"/>
      <c r="E440" s="3"/>
      <c r="F440" s="3"/>
      <c r="N440" s="3"/>
    </row>
    <row r="441" ht="15.75" customHeight="1">
      <c r="A441" s="3"/>
      <c r="B441" s="3"/>
      <c r="C441" s="3"/>
      <c r="D441" s="3"/>
      <c r="E441" s="3"/>
      <c r="F441" s="3"/>
      <c r="N441" s="3"/>
    </row>
    <row r="442" ht="15.75" customHeight="1">
      <c r="A442" s="3"/>
      <c r="B442" s="3"/>
      <c r="C442" s="3"/>
      <c r="D442" s="3"/>
      <c r="E442" s="3"/>
      <c r="F442" s="3"/>
      <c r="N442" s="3"/>
    </row>
    <row r="443" ht="15.75" customHeight="1">
      <c r="A443" s="3"/>
      <c r="B443" s="3"/>
      <c r="C443" s="3"/>
      <c r="D443" s="3"/>
      <c r="E443" s="3"/>
      <c r="F443" s="3"/>
      <c r="N443" s="3"/>
    </row>
    <row r="444" ht="15.75" customHeight="1">
      <c r="A444" s="3"/>
      <c r="B444" s="3"/>
      <c r="C444" s="3"/>
      <c r="D444" s="3"/>
      <c r="E444" s="3"/>
      <c r="F444" s="3"/>
      <c r="N444" s="3"/>
    </row>
    <row r="445" ht="15.75" customHeight="1">
      <c r="A445" s="3"/>
      <c r="B445" s="3"/>
      <c r="C445" s="3"/>
      <c r="D445" s="3"/>
      <c r="E445" s="3"/>
      <c r="F445" s="3"/>
      <c r="N445" s="3"/>
    </row>
    <row r="446" ht="15.75" customHeight="1">
      <c r="A446" s="3"/>
      <c r="B446" s="3"/>
      <c r="C446" s="3"/>
      <c r="D446" s="3"/>
      <c r="E446" s="3"/>
      <c r="F446" s="3"/>
      <c r="N446" s="3"/>
    </row>
    <row r="447" ht="15.75" customHeight="1">
      <c r="A447" s="3"/>
      <c r="B447" s="3"/>
      <c r="C447" s="3"/>
      <c r="D447" s="3"/>
      <c r="E447" s="3"/>
      <c r="F447" s="3"/>
      <c r="N447" s="3"/>
    </row>
    <row r="448" ht="15.75" customHeight="1">
      <c r="A448" s="3"/>
      <c r="B448" s="3"/>
      <c r="C448" s="3"/>
      <c r="D448" s="3"/>
      <c r="E448" s="3"/>
      <c r="F448" s="3"/>
      <c r="N448" s="3"/>
    </row>
    <row r="449" ht="15.75" customHeight="1">
      <c r="A449" s="3"/>
      <c r="B449" s="3"/>
      <c r="C449" s="3"/>
      <c r="D449" s="3"/>
      <c r="E449" s="3"/>
      <c r="F449" s="3"/>
      <c r="N449" s="3"/>
    </row>
    <row r="450" ht="15.75" customHeight="1">
      <c r="A450" s="3"/>
      <c r="B450" s="3"/>
      <c r="C450" s="3"/>
      <c r="D450" s="3"/>
      <c r="E450" s="3"/>
      <c r="F450" s="3"/>
      <c r="N450" s="3"/>
    </row>
    <row r="451" ht="15.75" customHeight="1">
      <c r="A451" s="3"/>
      <c r="B451" s="3"/>
      <c r="C451" s="3"/>
      <c r="D451" s="3"/>
      <c r="E451" s="3"/>
      <c r="F451" s="3"/>
      <c r="N451" s="3"/>
    </row>
    <row r="452" ht="15.75" customHeight="1">
      <c r="A452" s="3"/>
      <c r="B452" s="3"/>
      <c r="C452" s="3"/>
      <c r="D452" s="3"/>
      <c r="E452" s="3"/>
      <c r="F452" s="3"/>
      <c r="N452" s="3"/>
    </row>
    <row r="453" ht="15.75" customHeight="1">
      <c r="A453" s="3"/>
      <c r="B453" s="3"/>
      <c r="C453" s="3"/>
      <c r="D453" s="3"/>
      <c r="E453" s="3"/>
      <c r="F453" s="3"/>
      <c r="N453" s="3"/>
    </row>
    <row r="454" ht="15.75" customHeight="1">
      <c r="A454" s="3"/>
      <c r="B454" s="3"/>
      <c r="C454" s="3"/>
      <c r="D454" s="3"/>
      <c r="E454" s="3"/>
      <c r="F454" s="3"/>
      <c r="N454" s="3"/>
    </row>
    <row r="455" ht="15.75" customHeight="1">
      <c r="A455" s="3"/>
      <c r="B455" s="3"/>
      <c r="C455" s="3"/>
      <c r="D455" s="3"/>
      <c r="E455" s="3"/>
      <c r="F455" s="3"/>
      <c r="N455" s="3"/>
    </row>
    <row r="456" ht="15.75" customHeight="1">
      <c r="A456" s="3"/>
      <c r="B456" s="3"/>
      <c r="C456" s="3"/>
      <c r="D456" s="3"/>
      <c r="E456" s="3"/>
      <c r="F456" s="3"/>
      <c r="N456" s="3"/>
    </row>
    <row r="457" ht="15.75" customHeight="1">
      <c r="A457" s="3"/>
      <c r="B457" s="3"/>
      <c r="C457" s="3"/>
      <c r="D457" s="3"/>
      <c r="E457" s="3"/>
      <c r="F457" s="3"/>
      <c r="N457" s="3"/>
    </row>
    <row r="458" ht="15.75" customHeight="1">
      <c r="A458" s="3"/>
      <c r="B458" s="3"/>
      <c r="C458" s="3"/>
      <c r="D458" s="3"/>
      <c r="E458" s="3"/>
      <c r="F458" s="3"/>
      <c r="N458" s="3"/>
    </row>
    <row r="459" ht="15.75" customHeight="1">
      <c r="A459" s="3"/>
      <c r="B459" s="3"/>
      <c r="C459" s="3"/>
      <c r="D459" s="3"/>
      <c r="E459" s="3"/>
      <c r="F459" s="3"/>
      <c r="N459" s="3"/>
    </row>
    <row r="460" ht="15.75" customHeight="1">
      <c r="A460" s="3"/>
      <c r="B460" s="3"/>
      <c r="C460" s="3"/>
      <c r="D460" s="3"/>
      <c r="E460" s="3"/>
      <c r="F460" s="3"/>
      <c r="N460" s="3"/>
    </row>
    <row r="461" ht="15.75" customHeight="1">
      <c r="A461" s="3"/>
      <c r="B461" s="3"/>
      <c r="C461" s="3"/>
      <c r="D461" s="3"/>
      <c r="E461" s="3"/>
      <c r="F461" s="3"/>
      <c r="N461" s="3"/>
    </row>
    <row r="462" ht="15.75" customHeight="1">
      <c r="A462" s="3"/>
      <c r="B462" s="3"/>
      <c r="C462" s="3"/>
      <c r="D462" s="3"/>
      <c r="E462" s="3"/>
      <c r="F462" s="3"/>
      <c r="N462" s="3"/>
    </row>
    <row r="463" ht="15.75" customHeight="1">
      <c r="A463" s="3"/>
      <c r="B463" s="3"/>
      <c r="C463" s="3"/>
      <c r="D463" s="3"/>
      <c r="E463" s="3"/>
      <c r="F463" s="3"/>
      <c r="N463" s="3"/>
    </row>
    <row r="464" ht="15.75" customHeight="1">
      <c r="A464" s="3"/>
      <c r="B464" s="3"/>
      <c r="C464" s="3"/>
      <c r="D464" s="3"/>
      <c r="E464" s="3"/>
      <c r="F464" s="3"/>
      <c r="N464" s="3"/>
    </row>
    <row r="465" ht="15.75" customHeight="1">
      <c r="A465" s="3"/>
      <c r="B465" s="3"/>
      <c r="C465" s="3"/>
      <c r="D465" s="3"/>
      <c r="E465" s="3"/>
      <c r="F465" s="3"/>
      <c r="N465" s="3"/>
    </row>
    <row r="466" ht="15.75" customHeight="1">
      <c r="A466" s="3"/>
      <c r="B466" s="3"/>
      <c r="C466" s="3"/>
      <c r="D466" s="3"/>
      <c r="E466" s="3"/>
      <c r="F466" s="3"/>
      <c r="N466" s="3"/>
    </row>
    <row r="467" ht="15.75" customHeight="1">
      <c r="A467" s="3"/>
      <c r="B467" s="3"/>
      <c r="C467" s="3"/>
      <c r="D467" s="3"/>
      <c r="E467" s="3"/>
      <c r="F467" s="3"/>
      <c r="N467" s="3"/>
    </row>
    <row r="468" ht="15.75" customHeight="1">
      <c r="A468" s="3"/>
      <c r="B468" s="3"/>
      <c r="C468" s="3"/>
      <c r="D468" s="3"/>
      <c r="E468" s="3"/>
      <c r="F468" s="3"/>
      <c r="N468" s="3"/>
    </row>
    <row r="469" ht="15.75" customHeight="1">
      <c r="A469" s="3"/>
      <c r="B469" s="3"/>
      <c r="C469" s="3"/>
      <c r="D469" s="3"/>
      <c r="E469" s="3"/>
      <c r="F469" s="3"/>
      <c r="N469" s="3"/>
    </row>
    <row r="470" ht="15.75" customHeight="1">
      <c r="A470" s="3"/>
      <c r="B470" s="3"/>
      <c r="C470" s="3"/>
      <c r="D470" s="3"/>
      <c r="E470" s="3"/>
      <c r="F470" s="3"/>
      <c r="N470" s="3"/>
    </row>
    <row r="471" ht="15.75" customHeight="1">
      <c r="A471" s="3"/>
      <c r="B471" s="3"/>
      <c r="C471" s="3"/>
      <c r="D471" s="3"/>
      <c r="E471" s="3"/>
      <c r="F471" s="3"/>
      <c r="N471" s="3"/>
    </row>
    <row r="472" ht="15.75" customHeight="1">
      <c r="A472" s="3"/>
      <c r="B472" s="3"/>
      <c r="C472" s="3"/>
      <c r="D472" s="3"/>
      <c r="E472" s="3"/>
      <c r="F472" s="3"/>
      <c r="N472" s="3"/>
    </row>
    <row r="473" ht="15.75" customHeight="1">
      <c r="A473" s="3"/>
      <c r="B473" s="3"/>
      <c r="C473" s="3"/>
      <c r="D473" s="3"/>
      <c r="E473" s="3"/>
      <c r="F473" s="3"/>
      <c r="N473" s="3"/>
    </row>
    <row r="474" ht="15.75" customHeight="1">
      <c r="A474" s="3"/>
      <c r="B474" s="3"/>
      <c r="C474" s="3"/>
      <c r="D474" s="3"/>
      <c r="E474" s="3"/>
      <c r="F474" s="3"/>
      <c r="N474" s="3"/>
    </row>
    <row r="475" ht="15.75" customHeight="1">
      <c r="A475" s="3"/>
      <c r="B475" s="3"/>
      <c r="C475" s="3"/>
      <c r="D475" s="3"/>
      <c r="E475" s="3"/>
      <c r="F475" s="3"/>
      <c r="N475" s="3"/>
    </row>
    <row r="476" ht="15.75" customHeight="1">
      <c r="A476" s="3"/>
      <c r="B476" s="3"/>
      <c r="C476" s="3"/>
      <c r="D476" s="3"/>
      <c r="E476" s="3"/>
      <c r="F476" s="3"/>
      <c r="N476" s="3"/>
    </row>
    <row r="477" ht="15.75" customHeight="1">
      <c r="A477" s="3"/>
      <c r="B477" s="3"/>
      <c r="C477" s="3"/>
      <c r="D477" s="3"/>
      <c r="E477" s="3"/>
      <c r="F477" s="3"/>
      <c r="N477" s="3"/>
    </row>
    <row r="478" ht="15.75" customHeight="1">
      <c r="A478" s="3"/>
      <c r="B478" s="3"/>
      <c r="C478" s="3"/>
      <c r="D478" s="3"/>
      <c r="E478" s="3"/>
      <c r="F478" s="3"/>
      <c r="N478" s="3"/>
    </row>
    <row r="479" ht="15.75" customHeight="1">
      <c r="A479" s="3"/>
      <c r="B479" s="3"/>
      <c r="C479" s="3"/>
      <c r="D479" s="3"/>
      <c r="E479" s="3"/>
      <c r="F479" s="3"/>
      <c r="N479" s="3"/>
    </row>
    <row r="480" ht="15.75" customHeight="1">
      <c r="A480" s="3"/>
      <c r="B480" s="3"/>
      <c r="C480" s="3"/>
      <c r="D480" s="3"/>
      <c r="E480" s="3"/>
      <c r="F480" s="3"/>
      <c r="N480" s="3"/>
    </row>
    <row r="481" ht="15.75" customHeight="1">
      <c r="A481" s="3"/>
      <c r="B481" s="3"/>
      <c r="C481" s="3"/>
      <c r="D481" s="3"/>
      <c r="E481" s="3"/>
      <c r="F481" s="3"/>
      <c r="N481" s="3"/>
    </row>
    <row r="482" ht="15.75" customHeight="1">
      <c r="A482" s="3"/>
      <c r="B482" s="3"/>
      <c r="C482" s="3"/>
      <c r="D482" s="3"/>
      <c r="E482" s="3"/>
      <c r="F482" s="3"/>
      <c r="N482" s="3"/>
    </row>
    <row r="483" ht="15.75" customHeight="1">
      <c r="A483" s="3"/>
      <c r="B483" s="3"/>
      <c r="C483" s="3"/>
      <c r="D483" s="3"/>
      <c r="E483" s="3"/>
      <c r="F483" s="3"/>
      <c r="N483" s="3"/>
    </row>
    <row r="484" ht="15.75" customHeight="1">
      <c r="A484" s="3"/>
      <c r="B484" s="3"/>
      <c r="C484" s="3"/>
      <c r="D484" s="3"/>
      <c r="E484" s="3"/>
      <c r="F484" s="3"/>
      <c r="N484" s="3"/>
    </row>
    <row r="485" ht="15.75" customHeight="1">
      <c r="A485" s="3"/>
      <c r="B485" s="3"/>
      <c r="C485" s="3"/>
      <c r="D485" s="3"/>
      <c r="E485" s="3"/>
      <c r="F485" s="3"/>
      <c r="N485" s="3"/>
    </row>
    <row r="486" ht="15.75" customHeight="1">
      <c r="A486" s="3"/>
      <c r="B486" s="3"/>
      <c r="C486" s="3"/>
      <c r="D486" s="3"/>
      <c r="E486" s="3"/>
      <c r="F486" s="3"/>
      <c r="N486" s="3"/>
    </row>
    <row r="487" ht="15.75" customHeight="1">
      <c r="A487" s="3"/>
      <c r="B487" s="3"/>
      <c r="C487" s="3"/>
      <c r="D487" s="3"/>
      <c r="E487" s="3"/>
      <c r="F487" s="3"/>
      <c r="N487" s="3"/>
    </row>
    <row r="488" ht="15.75" customHeight="1">
      <c r="A488" s="3"/>
      <c r="B488" s="3"/>
      <c r="C488" s="3"/>
      <c r="D488" s="3"/>
      <c r="E488" s="3"/>
      <c r="F488" s="3"/>
      <c r="N488" s="3"/>
    </row>
    <row r="489" ht="15.75" customHeight="1">
      <c r="A489" s="3"/>
      <c r="B489" s="3"/>
      <c r="C489" s="3"/>
      <c r="D489" s="3"/>
      <c r="E489" s="3"/>
      <c r="F489" s="3"/>
      <c r="N489" s="3"/>
    </row>
    <row r="490" ht="15.75" customHeight="1">
      <c r="A490" s="3"/>
      <c r="B490" s="3"/>
      <c r="C490" s="3"/>
      <c r="D490" s="3"/>
      <c r="E490" s="3"/>
      <c r="F490" s="3"/>
      <c r="N490" s="3"/>
    </row>
    <row r="491" ht="15.75" customHeight="1">
      <c r="A491" s="3"/>
      <c r="B491" s="3"/>
      <c r="C491" s="3"/>
      <c r="D491" s="3"/>
      <c r="E491" s="3"/>
      <c r="F491" s="3"/>
      <c r="N491" s="3"/>
    </row>
    <row r="492" ht="15.75" customHeight="1">
      <c r="A492" s="3"/>
      <c r="B492" s="3"/>
      <c r="C492" s="3"/>
      <c r="D492" s="3"/>
      <c r="E492" s="3"/>
      <c r="F492" s="3"/>
      <c r="N492" s="3"/>
    </row>
    <row r="493" ht="15.75" customHeight="1">
      <c r="A493" s="3"/>
      <c r="B493" s="3"/>
      <c r="C493" s="3"/>
      <c r="D493" s="3"/>
      <c r="E493" s="3"/>
      <c r="F493" s="3"/>
      <c r="N493" s="3"/>
    </row>
    <row r="494" ht="15.75" customHeight="1">
      <c r="A494" s="3"/>
      <c r="B494" s="3"/>
      <c r="C494" s="3"/>
      <c r="D494" s="3"/>
      <c r="E494" s="3"/>
      <c r="F494" s="3"/>
      <c r="N494" s="3"/>
    </row>
    <row r="495" ht="15.75" customHeight="1">
      <c r="A495" s="3"/>
      <c r="B495" s="3"/>
      <c r="C495" s="3"/>
      <c r="D495" s="3"/>
      <c r="E495" s="3"/>
      <c r="F495" s="3"/>
      <c r="N495" s="3"/>
    </row>
    <row r="496" ht="15.75" customHeight="1">
      <c r="A496" s="3"/>
      <c r="B496" s="3"/>
      <c r="C496" s="3"/>
      <c r="D496" s="3"/>
      <c r="E496" s="3"/>
      <c r="F496" s="3"/>
      <c r="N496" s="3"/>
    </row>
    <row r="497" ht="15.75" customHeight="1">
      <c r="A497" s="3"/>
      <c r="B497" s="3"/>
      <c r="C497" s="3"/>
      <c r="D497" s="3"/>
      <c r="E497" s="3"/>
      <c r="F497" s="3"/>
      <c r="N497" s="3"/>
    </row>
    <row r="498" ht="15.75" customHeight="1">
      <c r="A498" s="3"/>
      <c r="B498" s="3"/>
      <c r="C498" s="3"/>
      <c r="D498" s="3"/>
      <c r="E498" s="3"/>
      <c r="F498" s="3"/>
      <c r="N498" s="3"/>
    </row>
    <row r="499" ht="15.75" customHeight="1">
      <c r="A499" s="3"/>
      <c r="B499" s="3"/>
      <c r="C499" s="3"/>
      <c r="D499" s="3"/>
      <c r="E499" s="3"/>
      <c r="F499" s="3"/>
      <c r="N499" s="3"/>
    </row>
    <row r="500" ht="15.75" customHeight="1">
      <c r="A500" s="3"/>
      <c r="B500" s="3"/>
      <c r="C500" s="3"/>
      <c r="D500" s="3"/>
      <c r="E500" s="3"/>
      <c r="F500" s="3"/>
      <c r="N500" s="3"/>
    </row>
    <row r="501" ht="15.75" customHeight="1">
      <c r="A501" s="3"/>
      <c r="B501" s="3"/>
      <c r="C501" s="3"/>
      <c r="D501" s="3"/>
      <c r="E501" s="3"/>
      <c r="F501" s="3"/>
      <c r="N501" s="3"/>
    </row>
    <row r="502" ht="15.75" customHeight="1">
      <c r="A502" s="3"/>
      <c r="B502" s="3"/>
      <c r="C502" s="3"/>
      <c r="D502" s="3"/>
      <c r="E502" s="3"/>
      <c r="F502" s="3"/>
      <c r="N502" s="3"/>
    </row>
    <row r="503" ht="15.75" customHeight="1">
      <c r="A503" s="3"/>
      <c r="B503" s="3"/>
      <c r="C503" s="3"/>
      <c r="D503" s="3"/>
      <c r="E503" s="3"/>
      <c r="F503" s="3"/>
      <c r="N503" s="3"/>
    </row>
    <row r="504" ht="15.75" customHeight="1">
      <c r="A504" s="3"/>
      <c r="B504" s="3"/>
      <c r="C504" s="3"/>
      <c r="D504" s="3"/>
      <c r="E504" s="3"/>
      <c r="F504" s="3"/>
      <c r="N504" s="3"/>
    </row>
    <row r="505" ht="15.75" customHeight="1">
      <c r="A505" s="3"/>
      <c r="B505" s="3"/>
      <c r="C505" s="3"/>
      <c r="D505" s="3"/>
      <c r="E505" s="3"/>
      <c r="F505" s="3"/>
      <c r="N505" s="3"/>
    </row>
    <row r="506" ht="15.75" customHeight="1">
      <c r="A506" s="3"/>
      <c r="B506" s="3"/>
      <c r="C506" s="3"/>
      <c r="D506" s="3"/>
      <c r="E506" s="3"/>
      <c r="F506" s="3"/>
      <c r="N506" s="3"/>
    </row>
    <row r="507" ht="15.75" customHeight="1">
      <c r="A507" s="3"/>
      <c r="B507" s="3"/>
      <c r="C507" s="3"/>
      <c r="D507" s="3"/>
      <c r="E507" s="3"/>
      <c r="F507" s="3"/>
      <c r="N507" s="3"/>
    </row>
    <row r="508" ht="15.75" customHeight="1">
      <c r="A508" s="3"/>
      <c r="B508" s="3"/>
      <c r="C508" s="3"/>
      <c r="D508" s="3"/>
      <c r="E508" s="3"/>
      <c r="F508" s="3"/>
      <c r="N508" s="3"/>
    </row>
    <row r="509" ht="15.75" customHeight="1">
      <c r="A509" s="3"/>
      <c r="B509" s="3"/>
      <c r="C509" s="3"/>
      <c r="D509" s="3"/>
      <c r="E509" s="3"/>
      <c r="F509" s="3"/>
      <c r="N509" s="3"/>
    </row>
    <row r="510" ht="15.75" customHeight="1">
      <c r="A510" s="3"/>
      <c r="B510" s="3"/>
      <c r="C510" s="3"/>
      <c r="D510" s="3"/>
      <c r="E510" s="3"/>
      <c r="F510" s="3"/>
      <c r="N510" s="3"/>
    </row>
    <row r="511" ht="15.75" customHeight="1">
      <c r="A511" s="3"/>
      <c r="B511" s="3"/>
      <c r="C511" s="3"/>
      <c r="D511" s="3"/>
      <c r="E511" s="3"/>
      <c r="F511" s="3"/>
      <c r="N511" s="3"/>
    </row>
    <row r="512" ht="15.75" customHeight="1">
      <c r="A512" s="3"/>
      <c r="B512" s="3"/>
      <c r="C512" s="3"/>
      <c r="D512" s="3"/>
      <c r="E512" s="3"/>
      <c r="F512" s="3"/>
      <c r="N512" s="3"/>
    </row>
    <row r="513" ht="15.75" customHeight="1">
      <c r="A513" s="3"/>
      <c r="B513" s="3"/>
      <c r="C513" s="3"/>
      <c r="D513" s="3"/>
      <c r="E513" s="3"/>
      <c r="F513" s="3"/>
      <c r="N513" s="3"/>
    </row>
    <row r="514" ht="15.75" customHeight="1">
      <c r="A514" s="3"/>
      <c r="B514" s="3"/>
      <c r="C514" s="3"/>
      <c r="D514" s="3"/>
      <c r="E514" s="3"/>
      <c r="F514" s="3"/>
      <c r="N514" s="3"/>
    </row>
    <row r="515" ht="15.75" customHeight="1">
      <c r="A515" s="3"/>
      <c r="B515" s="3"/>
      <c r="C515" s="3"/>
      <c r="D515" s="3"/>
      <c r="E515" s="3"/>
      <c r="F515" s="3"/>
      <c r="N515" s="3"/>
    </row>
    <row r="516" ht="15.75" customHeight="1">
      <c r="A516" s="3"/>
      <c r="B516" s="3"/>
      <c r="C516" s="3"/>
      <c r="D516" s="3"/>
      <c r="E516" s="3"/>
      <c r="F516" s="3"/>
      <c r="N516" s="3"/>
    </row>
    <row r="517" ht="15.75" customHeight="1">
      <c r="A517" s="3"/>
      <c r="B517" s="3"/>
      <c r="C517" s="3"/>
      <c r="D517" s="3"/>
      <c r="E517" s="3"/>
      <c r="F517" s="3"/>
      <c r="N517" s="3"/>
    </row>
    <row r="518" ht="15.75" customHeight="1">
      <c r="A518" s="3"/>
      <c r="B518" s="3"/>
      <c r="C518" s="3"/>
      <c r="D518" s="3"/>
      <c r="E518" s="3"/>
      <c r="F518" s="3"/>
      <c r="N518" s="3"/>
    </row>
    <row r="519" ht="15.75" customHeight="1">
      <c r="A519" s="3"/>
      <c r="B519" s="3"/>
      <c r="C519" s="3"/>
      <c r="D519" s="3"/>
      <c r="E519" s="3"/>
      <c r="F519" s="3"/>
      <c r="N519" s="3"/>
    </row>
    <row r="520" ht="15.75" customHeight="1">
      <c r="A520" s="3"/>
      <c r="B520" s="3"/>
      <c r="C520" s="3"/>
      <c r="D520" s="3"/>
      <c r="E520" s="3"/>
      <c r="F520" s="3"/>
      <c r="N520" s="3"/>
    </row>
    <row r="521" ht="15.75" customHeight="1">
      <c r="A521" s="3"/>
      <c r="B521" s="3"/>
      <c r="C521" s="3"/>
      <c r="D521" s="3"/>
      <c r="E521" s="3"/>
      <c r="F521" s="3"/>
      <c r="N521" s="3"/>
    </row>
    <row r="522" ht="15.75" customHeight="1">
      <c r="A522" s="3"/>
      <c r="B522" s="3"/>
      <c r="C522" s="3"/>
      <c r="D522" s="3"/>
      <c r="E522" s="3"/>
      <c r="F522" s="3"/>
      <c r="N522" s="3"/>
    </row>
    <row r="523" ht="15.75" customHeight="1">
      <c r="A523" s="3"/>
      <c r="B523" s="3"/>
      <c r="C523" s="3"/>
      <c r="D523" s="3"/>
      <c r="E523" s="3"/>
      <c r="F523" s="3"/>
      <c r="N523" s="3"/>
    </row>
    <row r="524" ht="15.75" customHeight="1">
      <c r="A524" s="3"/>
      <c r="B524" s="3"/>
      <c r="C524" s="3"/>
      <c r="D524" s="3"/>
      <c r="E524" s="3"/>
      <c r="F524" s="3"/>
      <c r="N524" s="3"/>
    </row>
    <row r="525" ht="15.75" customHeight="1">
      <c r="A525" s="3"/>
      <c r="B525" s="3"/>
      <c r="C525" s="3"/>
      <c r="D525" s="3"/>
      <c r="E525" s="3"/>
      <c r="F525" s="3"/>
      <c r="N525" s="3"/>
    </row>
    <row r="526" ht="15.75" customHeight="1">
      <c r="A526" s="3"/>
      <c r="B526" s="3"/>
      <c r="C526" s="3"/>
      <c r="D526" s="3"/>
      <c r="E526" s="3"/>
      <c r="F526" s="3"/>
      <c r="N526" s="3"/>
    </row>
    <row r="527" ht="15.75" customHeight="1">
      <c r="A527" s="3"/>
      <c r="B527" s="3"/>
      <c r="C527" s="3"/>
      <c r="D527" s="3"/>
      <c r="E527" s="3"/>
      <c r="F527" s="3"/>
      <c r="N527" s="3"/>
    </row>
    <row r="528" ht="15.75" customHeight="1">
      <c r="A528" s="3"/>
      <c r="B528" s="3"/>
      <c r="C528" s="3"/>
      <c r="D528" s="3"/>
      <c r="E528" s="3"/>
      <c r="F528" s="3"/>
      <c r="N528" s="3"/>
    </row>
    <row r="529" ht="15.75" customHeight="1">
      <c r="A529" s="3"/>
      <c r="B529" s="3"/>
      <c r="C529" s="3"/>
      <c r="D529" s="3"/>
      <c r="E529" s="3"/>
      <c r="F529" s="3"/>
      <c r="N529" s="3"/>
    </row>
    <row r="530" ht="15.75" customHeight="1">
      <c r="A530" s="3"/>
      <c r="B530" s="3"/>
      <c r="C530" s="3"/>
      <c r="D530" s="3"/>
      <c r="E530" s="3"/>
      <c r="F530" s="3"/>
      <c r="N530" s="3"/>
    </row>
    <row r="531" ht="15.75" customHeight="1">
      <c r="A531" s="3"/>
      <c r="B531" s="3"/>
      <c r="C531" s="3"/>
      <c r="D531" s="3"/>
      <c r="E531" s="3"/>
      <c r="F531" s="3"/>
      <c r="N531" s="3"/>
    </row>
    <row r="532" ht="15.75" customHeight="1">
      <c r="A532" s="3"/>
      <c r="B532" s="3"/>
      <c r="C532" s="3"/>
      <c r="D532" s="3"/>
      <c r="E532" s="3"/>
      <c r="F532" s="3"/>
      <c r="N532" s="3"/>
    </row>
    <row r="533" ht="15.75" customHeight="1">
      <c r="A533" s="3"/>
      <c r="B533" s="3"/>
      <c r="C533" s="3"/>
      <c r="D533" s="3"/>
      <c r="E533" s="3"/>
      <c r="F533" s="3"/>
      <c r="N533" s="3"/>
    </row>
    <row r="534" ht="15.75" customHeight="1">
      <c r="A534" s="3"/>
      <c r="B534" s="3"/>
      <c r="C534" s="3"/>
      <c r="D534" s="3"/>
      <c r="E534" s="3"/>
      <c r="F534" s="3"/>
      <c r="N534" s="3"/>
    </row>
    <row r="535" ht="15.75" customHeight="1">
      <c r="A535" s="3"/>
      <c r="B535" s="3"/>
      <c r="C535" s="3"/>
      <c r="D535" s="3"/>
      <c r="E535" s="3"/>
      <c r="F535" s="3"/>
      <c r="N535" s="3"/>
    </row>
    <row r="536" ht="15.75" customHeight="1">
      <c r="A536" s="3"/>
      <c r="B536" s="3"/>
      <c r="C536" s="3"/>
      <c r="D536" s="3"/>
      <c r="E536" s="3"/>
      <c r="F536" s="3"/>
      <c r="N536" s="3"/>
    </row>
    <row r="537" ht="15.75" customHeight="1">
      <c r="A537" s="3"/>
      <c r="B537" s="3"/>
      <c r="C537" s="3"/>
      <c r="D537" s="3"/>
      <c r="E537" s="3"/>
      <c r="F537" s="3"/>
      <c r="N537" s="3"/>
    </row>
    <row r="538" ht="15.75" customHeight="1">
      <c r="A538" s="3"/>
      <c r="B538" s="3"/>
      <c r="C538" s="3"/>
      <c r="D538" s="3"/>
      <c r="E538" s="3"/>
      <c r="F538" s="3"/>
      <c r="N538" s="3"/>
    </row>
    <row r="539" ht="15.75" customHeight="1">
      <c r="A539" s="3"/>
      <c r="B539" s="3"/>
      <c r="C539" s="3"/>
      <c r="D539" s="3"/>
      <c r="E539" s="3"/>
      <c r="F539" s="3"/>
      <c r="N539" s="3"/>
    </row>
    <row r="540" ht="15.75" customHeight="1">
      <c r="A540" s="3"/>
      <c r="B540" s="3"/>
      <c r="C540" s="3"/>
      <c r="D540" s="3"/>
      <c r="E540" s="3"/>
      <c r="F540" s="3"/>
      <c r="N540" s="3"/>
    </row>
    <row r="541" ht="15.75" customHeight="1">
      <c r="A541" s="3"/>
      <c r="B541" s="3"/>
      <c r="C541" s="3"/>
      <c r="D541" s="3"/>
      <c r="E541" s="3"/>
      <c r="F541" s="3"/>
      <c r="N541" s="3"/>
    </row>
    <row r="542" ht="15.75" customHeight="1">
      <c r="A542" s="3"/>
      <c r="B542" s="3"/>
      <c r="C542" s="3"/>
      <c r="D542" s="3"/>
      <c r="E542" s="3"/>
      <c r="F542" s="3"/>
      <c r="N542" s="3"/>
    </row>
    <row r="543" ht="15.75" customHeight="1">
      <c r="A543" s="3"/>
      <c r="B543" s="3"/>
      <c r="C543" s="3"/>
      <c r="D543" s="3"/>
      <c r="E543" s="3"/>
      <c r="F543" s="3"/>
      <c r="N543" s="3"/>
    </row>
    <row r="544" ht="15.75" customHeight="1">
      <c r="A544" s="3"/>
      <c r="B544" s="3"/>
      <c r="C544" s="3"/>
      <c r="D544" s="3"/>
      <c r="E544" s="3"/>
      <c r="F544" s="3"/>
      <c r="N544" s="3"/>
    </row>
    <row r="545" ht="15.75" customHeight="1">
      <c r="A545" s="3"/>
      <c r="B545" s="3"/>
      <c r="C545" s="3"/>
      <c r="D545" s="3"/>
      <c r="E545" s="3"/>
      <c r="F545" s="3"/>
      <c r="N545" s="3"/>
    </row>
    <row r="546" ht="15.75" customHeight="1">
      <c r="A546" s="3"/>
      <c r="B546" s="3"/>
      <c r="C546" s="3"/>
      <c r="D546" s="3"/>
      <c r="E546" s="3"/>
      <c r="F546" s="3"/>
      <c r="N546" s="3"/>
    </row>
    <row r="547" ht="15.75" customHeight="1">
      <c r="A547" s="3"/>
      <c r="B547" s="3"/>
      <c r="C547" s="3"/>
      <c r="D547" s="3"/>
      <c r="E547" s="3"/>
      <c r="F547" s="3"/>
      <c r="N547" s="3"/>
    </row>
    <row r="548" ht="15.75" customHeight="1">
      <c r="A548" s="3"/>
      <c r="B548" s="3"/>
      <c r="C548" s="3"/>
      <c r="D548" s="3"/>
      <c r="E548" s="3"/>
      <c r="F548" s="3"/>
      <c r="N548" s="3"/>
    </row>
    <row r="549" ht="15.75" customHeight="1">
      <c r="A549" s="3"/>
      <c r="B549" s="3"/>
      <c r="C549" s="3"/>
      <c r="D549" s="3"/>
      <c r="E549" s="3"/>
      <c r="F549" s="3"/>
      <c r="N549" s="3"/>
    </row>
    <row r="550" ht="15.75" customHeight="1">
      <c r="A550" s="3"/>
      <c r="B550" s="3"/>
      <c r="C550" s="3"/>
      <c r="D550" s="3"/>
      <c r="E550" s="3"/>
      <c r="F550" s="3"/>
      <c r="N550" s="3"/>
    </row>
    <row r="551" ht="15.75" customHeight="1">
      <c r="A551" s="3"/>
      <c r="B551" s="3"/>
      <c r="C551" s="3"/>
      <c r="D551" s="3"/>
      <c r="E551" s="3"/>
      <c r="F551" s="3"/>
      <c r="N551" s="3"/>
    </row>
    <row r="552" ht="15.75" customHeight="1">
      <c r="A552" s="3"/>
      <c r="B552" s="3"/>
      <c r="C552" s="3"/>
      <c r="D552" s="3"/>
      <c r="E552" s="3"/>
      <c r="F552" s="3"/>
      <c r="N552" s="3"/>
    </row>
    <row r="553" ht="15.75" customHeight="1">
      <c r="A553" s="3"/>
      <c r="B553" s="3"/>
      <c r="C553" s="3"/>
      <c r="D553" s="3"/>
      <c r="E553" s="3"/>
      <c r="F553" s="3"/>
      <c r="N553" s="3"/>
    </row>
    <row r="554" ht="15.75" customHeight="1">
      <c r="A554" s="3"/>
      <c r="B554" s="3"/>
      <c r="C554" s="3"/>
      <c r="D554" s="3"/>
      <c r="E554" s="3"/>
      <c r="F554" s="3"/>
      <c r="N554" s="3"/>
    </row>
    <row r="555" ht="15.75" customHeight="1">
      <c r="A555" s="3"/>
      <c r="B555" s="3"/>
      <c r="C555" s="3"/>
      <c r="D555" s="3"/>
      <c r="E555" s="3"/>
      <c r="F555" s="3"/>
      <c r="N555" s="3"/>
    </row>
    <row r="556" ht="15.75" customHeight="1">
      <c r="A556" s="3"/>
      <c r="B556" s="3"/>
      <c r="C556" s="3"/>
      <c r="D556" s="3"/>
      <c r="E556" s="3"/>
      <c r="F556" s="3"/>
      <c r="N556" s="3"/>
    </row>
    <row r="557" ht="15.75" customHeight="1">
      <c r="A557" s="3"/>
      <c r="B557" s="3"/>
      <c r="C557" s="3"/>
      <c r="D557" s="3"/>
      <c r="E557" s="3"/>
      <c r="F557" s="3"/>
      <c r="N557" s="3"/>
    </row>
    <row r="558" ht="15.75" customHeight="1">
      <c r="A558" s="3"/>
      <c r="B558" s="3"/>
      <c r="C558" s="3"/>
      <c r="D558" s="3"/>
      <c r="E558" s="3"/>
      <c r="F558" s="3"/>
      <c r="N558" s="3"/>
    </row>
    <row r="559" ht="15.75" customHeight="1">
      <c r="A559" s="3"/>
      <c r="B559" s="3"/>
      <c r="C559" s="3"/>
      <c r="D559" s="3"/>
      <c r="E559" s="3"/>
      <c r="F559" s="3"/>
      <c r="N559" s="3"/>
    </row>
    <row r="560" ht="15.75" customHeight="1">
      <c r="A560" s="3"/>
      <c r="B560" s="3"/>
      <c r="C560" s="3"/>
      <c r="D560" s="3"/>
      <c r="E560" s="3"/>
      <c r="F560" s="3"/>
      <c r="N560" s="3"/>
    </row>
    <row r="561" ht="15.75" customHeight="1">
      <c r="A561" s="3"/>
      <c r="B561" s="3"/>
      <c r="C561" s="3"/>
      <c r="D561" s="3"/>
      <c r="E561" s="3"/>
      <c r="F561" s="3"/>
      <c r="N561" s="3"/>
    </row>
    <row r="562" ht="15.75" customHeight="1">
      <c r="A562" s="3"/>
      <c r="B562" s="3"/>
      <c r="C562" s="3"/>
      <c r="D562" s="3"/>
      <c r="E562" s="3"/>
      <c r="F562" s="3"/>
      <c r="N562" s="3"/>
    </row>
    <row r="563" ht="15.75" customHeight="1">
      <c r="A563" s="3"/>
      <c r="B563" s="3"/>
      <c r="C563" s="3"/>
      <c r="D563" s="3"/>
      <c r="E563" s="3"/>
      <c r="F563" s="3"/>
      <c r="N563" s="3"/>
    </row>
    <row r="564" ht="15.75" customHeight="1">
      <c r="A564" s="3"/>
      <c r="B564" s="3"/>
      <c r="C564" s="3"/>
      <c r="D564" s="3"/>
      <c r="E564" s="3"/>
      <c r="F564" s="3"/>
      <c r="N564" s="3"/>
    </row>
    <row r="565" ht="15.75" customHeight="1">
      <c r="A565" s="3"/>
      <c r="B565" s="3"/>
      <c r="C565" s="3"/>
      <c r="D565" s="3"/>
      <c r="E565" s="3"/>
      <c r="F565" s="3"/>
      <c r="N565" s="3"/>
    </row>
    <row r="566" ht="15.75" customHeight="1">
      <c r="A566" s="3"/>
      <c r="B566" s="3"/>
      <c r="C566" s="3"/>
      <c r="D566" s="3"/>
      <c r="E566" s="3"/>
      <c r="F566" s="3"/>
      <c r="N566" s="3"/>
    </row>
    <row r="567" ht="15.75" customHeight="1">
      <c r="A567" s="3"/>
      <c r="B567" s="3"/>
      <c r="C567" s="3"/>
      <c r="D567" s="3"/>
      <c r="E567" s="3"/>
      <c r="F567" s="3"/>
      <c r="N567" s="3"/>
    </row>
    <row r="568" ht="15.75" customHeight="1">
      <c r="A568" s="3"/>
      <c r="B568" s="3"/>
      <c r="C568" s="3"/>
      <c r="D568" s="3"/>
      <c r="E568" s="3"/>
      <c r="F568" s="3"/>
      <c r="N568" s="3"/>
    </row>
    <row r="569" ht="15.75" customHeight="1">
      <c r="A569" s="3"/>
      <c r="B569" s="3"/>
      <c r="C569" s="3"/>
      <c r="D569" s="3"/>
      <c r="E569" s="3"/>
      <c r="F569" s="3"/>
      <c r="N569" s="3"/>
    </row>
    <row r="570" ht="15.75" customHeight="1">
      <c r="A570" s="3"/>
      <c r="B570" s="3"/>
      <c r="C570" s="3"/>
      <c r="D570" s="3"/>
      <c r="E570" s="3"/>
      <c r="F570" s="3"/>
      <c r="N570" s="3"/>
    </row>
    <row r="571" ht="15.75" customHeight="1">
      <c r="A571" s="3"/>
      <c r="B571" s="3"/>
      <c r="C571" s="3"/>
      <c r="D571" s="3"/>
      <c r="E571" s="3"/>
      <c r="F571" s="3"/>
      <c r="N571" s="3"/>
    </row>
    <row r="572" ht="15.75" customHeight="1">
      <c r="A572" s="3"/>
      <c r="B572" s="3"/>
      <c r="C572" s="3"/>
      <c r="D572" s="3"/>
      <c r="E572" s="3"/>
      <c r="F572" s="3"/>
      <c r="N572" s="3"/>
    </row>
    <row r="573" ht="15.75" customHeight="1">
      <c r="A573" s="3"/>
      <c r="B573" s="3"/>
      <c r="C573" s="3"/>
      <c r="D573" s="3"/>
      <c r="E573" s="3"/>
      <c r="F573" s="3"/>
      <c r="N573" s="3"/>
    </row>
    <row r="574" ht="15.75" customHeight="1">
      <c r="A574" s="3"/>
      <c r="B574" s="3"/>
      <c r="C574" s="3"/>
      <c r="D574" s="3"/>
      <c r="E574" s="3"/>
      <c r="F574" s="3"/>
      <c r="N574" s="3"/>
    </row>
    <row r="575" ht="15.75" customHeight="1">
      <c r="A575" s="3"/>
      <c r="B575" s="3"/>
      <c r="C575" s="3"/>
      <c r="D575" s="3"/>
      <c r="E575" s="3"/>
      <c r="F575" s="3"/>
      <c r="N575" s="3"/>
    </row>
    <row r="576" ht="15.75" customHeight="1">
      <c r="A576" s="3"/>
      <c r="B576" s="3"/>
      <c r="C576" s="3"/>
      <c r="D576" s="3"/>
      <c r="E576" s="3"/>
      <c r="F576" s="3"/>
      <c r="N576" s="3"/>
    </row>
    <row r="577" ht="15.75" customHeight="1">
      <c r="A577" s="3"/>
      <c r="B577" s="3"/>
      <c r="C577" s="3"/>
      <c r="D577" s="3"/>
      <c r="E577" s="3"/>
      <c r="F577" s="3"/>
      <c r="N577" s="3"/>
    </row>
    <row r="578" ht="15.75" customHeight="1">
      <c r="A578" s="3"/>
      <c r="B578" s="3"/>
      <c r="C578" s="3"/>
      <c r="D578" s="3"/>
      <c r="E578" s="3"/>
      <c r="F578" s="3"/>
      <c r="N578" s="3"/>
    </row>
    <row r="579" ht="15.75" customHeight="1">
      <c r="A579" s="3"/>
      <c r="B579" s="3"/>
      <c r="C579" s="3"/>
      <c r="D579" s="3"/>
      <c r="E579" s="3"/>
      <c r="F579" s="3"/>
      <c r="N579" s="3"/>
    </row>
    <row r="580" ht="15.75" customHeight="1">
      <c r="A580" s="3"/>
      <c r="B580" s="3"/>
      <c r="C580" s="3"/>
      <c r="D580" s="3"/>
      <c r="E580" s="3"/>
      <c r="F580" s="3"/>
      <c r="N580" s="3"/>
    </row>
    <row r="581" ht="15.75" customHeight="1">
      <c r="A581" s="3"/>
      <c r="B581" s="3"/>
      <c r="C581" s="3"/>
      <c r="D581" s="3"/>
      <c r="E581" s="3"/>
      <c r="F581" s="3"/>
      <c r="N581" s="3"/>
    </row>
    <row r="582" ht="15.75" customHeight="1">
      <c r="A582" s="3"/>
      <c r="B582" s="3"/>
      <c r="C582" s="3"/>
      <c r="D582" s="3"/>
      <c r="E582" s="3"/>
      <c r="F582" s="3"/>
      <c r="N582" s="3"/>
    </row>
    <row r="583" ht="15.75" customHeight="1">
      <c r="A583" s="3"/>
      <c r="B583" s="3"/>
      <c r="C583" s="3"/>
      <c r="D583" s="3"/>
      <c r="E583" s="3"/>
      <c r="F583" s="3"/>
      <c r="N583" s="3"/>
    </row>
    <row r="584" ht="15.75" customHeight="1">
      <c r="A584" s="3"/>
      <c r="B584" s="3"/>
      <c r="C584" s="3"/>
      <c r="D584" s="3"/>
      <c r="E584" s="3"/>
      <c r="F584" s="3"/>
      <c r="N584" s="3"/>
    </row>
    <row r="585" ht="15.75" customHeight="1">
      <c r="A585" s="3"/>
      <c r="B585" s="3"/>
      <c r="C585" s="3"/>
      <c r="D585" s="3"/>
      <c r="E585" s="3"/>
      <c r="F585" s="3"/>
      <c r="N585" s="3"/>
    </row>
    <row r="586" ht="15.75" customHeight="1">
      <c r="A586" s="3"/>
      <c r="B586" s="3"/>
      <c r="C586" s="3"/>
      <c r="D586" s="3"/>
      <c r="E586" s="3"/>
      <c r="F586" s="3"/>
      <c r="N586" s="3"/>
    </row>
    <row r="587" ht="15.75" customHeight="1">
      <c r="A587" s="3"/>
      <c r="B587" s="3"/>
      <c r="C587" s="3"/>
      <c r="D587" s="3"/>
      <c r="E587" s="3"/>
      <c r="F587" s="3"/>
      <c r="N587" s="3"/>
    </row>
    <row r="588" ht="15.75" customHeight="1">
      <c r="A588" s="3"/>
      <c r="B588" s="3"/>
      <c r="C588" s="3"/>
      <c r="D588" s="3"/>
      <c r="E588" s="3"/>
      <c r="F588" s="3"/>
      <c r="N588" s="3"/>
    </row>
    <row r="589" ht="15.75" customHeight="1">
      <c r="A589" s="3"/>
      <c r="B589" s="3"/>
      <c r="C589" s="3"/>
      <c r="D589" s="3"/>
      <c r="E589" s="3"/>
      <c r="F589" s="3"/>
      <c r="N589" s="3"/>
    </row>
    <row r="590" ht="15.75" customHeight="1">
      <c r="A590" s="3"/>
      <c r="B590" s="3"/>
      <c r="C590" s="3"/>
      <c r="D590" s="3"/>
      <c r="E590" s="3"/>
      <c r="F590" s="3"/>
      <c r="N590" s="3"/>
    </row>
    <row r="591" ht="15.75" customHeight="1">
      <c r="A591" s="3"/>
      <c r="B591" s="3"/>
      <c r="C591" s="3"/>
      <c r="D591" s="3"/>
      <c r="E591" s="3"/>
      <c r="F591" s="3"/>
      <c r="N591" s="3"/>
    </row>
    <row r="592" ht="15.75" customHeight="1">
      <c r="A592" s="3"/>
      <c r="B592" s="3"/>
      <c r="C592" s="3"/>
      <c r="D592" s="3"/>
      <c r="E592" s="3"/>
      <c r="F592" s="3"/>
      <c r="N592" s="3"/>
    </row>
    <row r="593" ht="15.75" customHeight="1">
      <c r="A593" s="3"/>
      <c r="B593" s="3"/>
      <c r="C593" s="3"/>
      <c r="D593" s="3"/>
      <c r="E593" s="3"/>
      <c r="F593" s="3"/>
      <c r="N593" s="3"/>
    </row>
    <row r="594" ht="15.75" customHeight="1">
      <c r="A594" s="3"/>
      <c r="B594" s="3"/>
      <c r="C594" s="3"/>
      <c r="D594" s="3"/>
      <c r="E594" s="3"/>
      <c r="F594" s="3"/>
      <c r="N594" s="3"/>
    </row>
    <row r="595" ht="15.75" customHeight="1">
      <c r="A595" s="3"/>
      <c r="B595" s="3"/>
      <c r="C595" s="3"/>
      <c r="D595" s="3"/>
      <c r="E595" s="3"/>
      <c r="F595" s="3"/>
      <c r="N595" s="3"/>
    </row>
    <row r="596" ht="15.75" customHeight="1">
      <c r="A596" s="3"/>
      <c r="B596" s="3"/>
      <c r="C596" s="3"/>
      <c r="D596" s="3"/>
      <c r="E596" s="3"/>
      <c r="F596" s="3"/>
      <c r="N596" s="3"/>
    </row>
    <row r="597" ht="15.75" customHeight="1">
      <c r="A597" s="3"/>
      <c r="B597" s="3"/>
      <c r="C597" s="3"/>
      <c r="D597" s="3"/>
      <c r="E597" s="3"/>
      <c r="F597" s="3"/>
      <c r="N597" s="3"/>
    </row>
    <row r="598" ht="15.75" customHeight="1">
      <c r="A598" s="3"/>
      <c r="B598" s="3"/>
      <c r="C598" s="3"/>
      <c r="D598" s="3"/>
      <c r="E598" s="3"/>
      <c r="F598" s="3"/>
      <c r="N598" s="3"/>
    </row>
    <row r="599" ht="15.75" customHeight="1">
      <c r="A599" s="3"/>
      <c r="B599" s="3"/>
      <c r="C599" s="3"/>
      <c r="D599" s="3"/>
      <c r="E599" s="3"/>
      <c r="F599" s="3"/>
      <c r="N599" s="3"/>
    </row>
    <row r="600" ht="15.75" customHeight="1">
      <c r="A600" s="3"/>
      <c r="B600" s="3"/>
      <c r="C600" s="3"/>
      <c r="D600" s="3"/>
      <c r="E600" s="3"/>
      <c r="F600" s="3"/>
      <c r="N600" s="3"/>
    </row>
    <row r="601" ht="15.75" customHeight="1">
      <c r="A601" s="3"/>
      <c r="B601" s="3"/>
      <c r="C601" s="3"/>
      <c r="D601" s="3"/>
      <c r="E601" s="3"/>
      <c r="F601" s="3"/>
      <c r="N601" s="3"/>
    </row>
    <row r="602" ht="15.75" customHeight="1">
      <c r="A602" s="3"/>
      <c r="B602" s="3"/>
      <c r="C602" s="3"/>
      <c r="D602" s="3"/>
      <c r="E602" s="3"/>
      <c r="F602" s="3"/>
      <c r="N602" s="3"/>
    </row>
    <row r="603" ht="15.75" customHeight="1">
      <c r="A603" s="3"/>
      <c r="B603" s="3"/>
      <c r="C603" s="3"/>
      <c r="D603" s="3"/>
      <c r="E603" s="3"/>
      <c r="F603" s="3"/>
      <c r="N603" s="3"/>
    </row>
    <row r="604" ht="15.75" customHeight="1">
      <c r="A604" s="3"/>
      <c r="B604" s="3"/>
      <c r="C604" s="3"/>
      <c r="D604" s="3"/>
      <c r="E604" s="3"/>
      <c r="F604" s="3"/>
      <c r="N604" s="3"/>
    </row>
    <row r="605" ht="15.75" customHeight="1">
      <c r="A605" s="3"/>
      <c r="B605" s="3"/>
      <c r="C605" s="3"/>
      <c r="D605" s="3"/>
      <c r="E605" s="3"/>
      <c r="F605" s="3"/>
      <c r="N605" s="3"/>
    </row>
    <row r="606" ht="15.75" customHeight="1">
      <c r="A606" s="3"/>
      <c r="B606" s="3"/>
      <c r="C606" s="3"/>
      <c r="D606" s="3"/>
      <c r="E606" s="3"/>
      <c r="F606" s="3"/>
      <c r="N606" s="3"/>
    </row>
    <row r="607" ht="15.75" customHeight="1">
      <c r="A607" s="3"/>
      <c r="B607" s="3"/>
      <c r="C607" s="3"/>
      <c r="D607" s="3"/>
      <c r="E607" s="3"/>
      <c r="F607" s="3"/>
      <c r="N607" s="3"/>
    </row>
    <row r="608" ht="15.75" customHeight="1">
      <c r="A608" s="3"/>
      <c r="B608" s="3"/>
      <c r="C608" s="3"/>
      <c r="D608" s="3"/>
      <c r="E608" s="3"/>
      <c r="F608" s="3"/>
      <c r="N608" s="3"/>
    </row>
    <row r="609" ht="15.75" customHeight="1">
      <c r="A609" s="3"/>
      <c r="B609" s="3"/>
      <c r="C609" s="3"/>
      <c r="D609" s="3"/>
      <c r="E609" s="3"/>
      <c r="F609" s="3"/>
      <c r="N609" s="3"/>
    </row>
    <row r="610" ht="15.75" customHeight="1">
      <c r="A610" s="3"/>
      <c r="B610" s="3"/>
      <c r="C610" s="3"/>
      <c r="D610" s="3"/>
      <c r="E610" s="3"/>
      <c r="F610" s="3"/>
      <c r="N610" s="3"/>
    </row>
    <row r="611" ht="15.75" customHeight="1">
      <c r="A611" s="3"/>
      <c r="B611" s="3"/>
      <c r="C611" s="3"/>
      <c r="D611" s="3"/>
      <c r="E611" s="3"/>
      <c r="F611" s="3"/>
      <c r="N611" s="3"/>
    </row>
    <row r="612" ht="15.75" customHeight="1">
      <c r="A612" s="3"/>
      <c r="B612" s="3"/>
      <c r="C612" s="3"/>
      <c r="D612" s="3"/>
      <c r="E612" s="3"/>
      <c r="F612" s="3"/>
      <c r="N612" s="3"/>
    </row>
    <row r="613" ht="15.75" customHeight="1">
      <c r="A613" s="3"/>
      <c r="B613" s="3"/>
      <c r="C613" s="3"/>
      <c r="D613" s="3"/>
      <c r="E613" s="3"/>
      <c r="F613" s="3"/>
      <c r="N613" s="3"/>
    </row>
    <row r="614" ht="15.75" customHeight="1">
      <c r="A614" s="3"/>
      <c r="B614" s="3"/>
      <c r="C614" s="3"/>
      <c r="D614" s="3"/>
      <c r="E614" s="3"/>
      <c r="F614" s="3"/>
      <c r="N614" s="3"/>
    </row>
    <row r="615" ht="15.75" customHeight="1">
      <c r="A615" s="3"/>
      <c r="B615" s="3"/>
      <c r="C615" s="3"/>
      <c r="D615" s="3"/>
      <c r="E615" s="3"/>
      <c r="F615" s="3"/>
      <c r="N615" s="3"/>
    </row>
    <row r="616" ht="15.75" customHeight="1">
      <c r="A616" s="3"/>
      <c r="B616" s="3"/>
      <c r="C616" s="3"/>
      <c r="D616" s="3"/>
      <c r="E616" s="3"/>
      <c r="F616" s="3"/>
      <c r="N616" s="3"/>
    </row>
    <row r="617" ht="15.75" customHeight="1">
      <c r="A617" s="3"/>
      <c r="B617" s="3"/>
      <c r="C617" s="3"/>
      <c r="D617" s="3"/>
      <c r="E617" s="3"/>
      <c r="F617" s="3"/>
      <c r="N617" s="3"/>
    </row>
    <row r="618" ht="15.75" customHeight="1">
      <c r="A618" s="3"/>
      <c r="B618" s="3"/>
      <c r="C618" s="3"/>
      <c r="D618" s="3"/>
      <c r="E618" s="3"/>
      <c r="F618" s="3"/>
      <c r="N618" s="3"/>
    </row>
    <row r="619" ht="15.75" customHeight="1">
      <c r="A619" s="3"/>
      <c r="B619" s="3"/>
      <c r="C619" s="3"/>
      <c r="D619" s="3"/>
      <c r="E619" s="3"/>
      <c r="F619" s="3"/>
      <c r="N619" s="3"/>
    </row>
    <row r="620" ht="15.75" customHeight="1">
      <c r="A620" s="3"/>
      <c r="B620" s="3"/>
      <c r="C620" s="3"/>
      <c r="D620" s="3"/>
      <c r="E620" s="3"/>
      <c r="F620" s="3"/>
      <c r="N620" s="3"/>
    </row>
    <row r="621" ht="15.75" customHeight="1">
      <c r="A621" s="3"/>
      <c r="B621" s="3"/>
      <c r="C621" s="3"/>
      <c r="D621" s="3"/>
      <c r="E621" s="3"/>
      <c r="F621" s="3"/>
      <c r="N621" s="3"/>
    </row>
    <row r="622" ht="15.75" customHeight="1">
      <c r="A622" s="3"/>
      <c r="B622" s="3"/>
      <c r="C622" s="3"/>
      <c r="D622" s="3"/>
      <c r="E622" s="3"/>
      <c r="F622" s="3"/>
      <c r="N622" s="3"/>
    </row>
    <row r="623" ht="15.75" customHeight="1">
      <c r="A623" s="3"/>
      <c r="B623" s="3"/>
      <c r="C623" s="3"/>
      <c r="D623" s="3"/>
      <c r="E623" s="3"/>
      <c r="F623" s="3"/>
      <c r="N623" s="3"/>
    </row>
    <row r="624" ht="15.75" customHeight="1">
      <c r="A624" s="3"/>
      <c r="B624" s="3"/>
      <c r="C624" s="3"/>
      <c r="D624" s="3"/>
      <c r="E624" s="3"/>
      <c r="F624" s="3"/>
      <c r="N624" s="3"/>
    </row>
    <row r="625" ht="15.75" customHeight="1">
      <c r="A625" s="3"/>
      <c r="B625" s="3"/>
      <c r="C625" s="3"/>
      <c r="D625" s="3"/>
      <c r="E625" s="3"/>
      <c r="F625" s="3"/>
      <c r="N625" s="3"/>
    </row>
    <row r="626" ht="15.75" customHeight="1">
      <c r="A626" s="3"/>
      <c r="B626" s="3"/>
      <c r="C626" s="3"/>
      <c r="D626" s="3"/>
      <c r="E626" s="3"/>
      <c r="F626" s="3"/>
      <c r="N626" s="3"/>
    </row>
    <row r="627" ht="15.75" customHeight="1">
      <c r="A627" s="3"/>
      <c r="B627" s="3"/>
      <c r="C627" s="3"/>
      <c r="D627" s="3"/>
      <c r="E627" s="3"/>
      <c r="F627" s="3"/>
      <c r="N627" s="3"/>
    </row>
    <row r="628" ht="15.75" customHeight="1">
      <c r="A628" s="3"/>
      <c r="B628" s="3"/>
      <c r="C628" s="3"/>
      <c r="D628" s="3"/>
      <c r="E628" s="3"/>
      <c r="F628" s="3"/>
      <c r="N628" s="3"/>
    </row>
    <row r="629" ht="15.75" customHeight="1">
      <c r="A629" s="3"/>
      <c r="B629" s="3"/>
      <c r="C629" s="3"/>
      <c r="D629" s="3"/>
      <c r="E629" s="3"/>
      <c r="F629" s="3"/>
      <c r="N629" s="3"/>
    </row>
    <row r="630" ht="15.75" customHeight="1">
      <c r="A630" s="3"/>
      <c r="B630" s="3"/>
      <c r="C630" s="3"/>
      <c r="D630" s="3"/>
      <c r="E630" s="3"/>
      <c r="F630" s="3"/>
      <c r="N630" s="3"/>
    </row>
    <row r="631" ht="15.75" customHeight="1">
      <c r="A631" s="3"/>
      <c r="B631" s="3"/>
      <c r="C631" s="3"/>
      <c r="D631" s="3"/>
      <c r="E631" s="3"/>
      <c r="F631" s="3"/>
      <c r="N631" s="3"/>
    </row>
    <row r="632" ht="15.75" customHeight="1">
      <c r="A632" s="3"/>
      <c r="B632" s="3"/>
      <c r="C632" s="3"/>
      <c r="D632" s="3"/>
      <c r="E632" s="3"/>
      <c r="F632" s="3"/>
      <c r="N632" s="3"/>
    </row>
    <row r="633" ht="15.75" customHeight="1">
      <c r="A633" s="3"/>
      <c r="B633" s="3"/>
      <c r="C633" s="3"/>
      <c r="D633" s="3"/>
      <c r="E633" s="3"/>
      <c r="F633" s="3"/>
      <c r="N633" s="3"/>
    </row>
    <row r="634" ht="15.75" customHeight="1">
      <c r="A634" s="3"/>
      <c r="B634" s="3"/>
      <c r="C634" s="3"/>
      <c r="D634" s="3"/>
      <c r="E634" s="3"/>
      <c r="F634" s="3"/>
      <c r="N634" s="3"/>
    </row>
    <row r="635" ht="15.75" customHeight="1">
      <c r="A635" s="3"/>
      <c r="B635" s="3"/>
      <c r="C635" s="3"/>
      <c r="D635" s="3"/>
      <c r="E635" s="3"/>
      <c r="F635" s="3"/>
      <c r="N635" s="3"/>
    </row>
    <row r="636" ht="15.75" customHeight="1">
      <c r="A636" s="3"/>
      <c r="B636" s="3"/>
      <c r="C636" s="3"/>
      <c r="D636" s="3"/>
      <c r="E636" s="3"/>
      <c r="F636" s="3"/>
      <c r="N636" s="3"/>
    </row>
    <row r="637" ht="15.75" customHeight="1">
      <c r="A637" s="3"/>
      <c r="B637" s="3"/>
      <c r="C637" s="3"/>
      <c r="D637" s="3"/>
      <c r="E637" s="3"/>
      <c r="F637" s="3"/>
      <c r="N637" s="3"/>
    </row>
    <row r="638" ht="15.75" customHeight="1">
      <c r="A638" s="3"/>
      <c r="B638" s="3"/>
      <c r="C638" s="3"/>
      <c r="D638" s="3"/>
      <c r="E638" s="3"/>
      <c r="F638" s="3"/>
      <c r="N638" s="3"/>
    </row>
    <row r="639" ht="15.75" customHeight="1">
      <c r="A639" s="3"/>
      <c r="B639" s="3"/>
      <c r="C639" s="3"/>
      <c r="D639" s="3"/>
      <c r="E639" s="3"/>
      <c r="F639" s="3"/>
      <c r="N639" s="3"/>
    </row>
    <row r="640" ht="15.75" customHeight="1">
      <c r="A640" s="3"/>
      <c r="B640" s="3"/>
      <c r="C640" s="3"/>
      <c r="D640" s="3"/>
      <c r="E640" s="3"/>
      <c r="F640" s="3"/>
      <c r="N640" s="3"/>
    </row>
    <row r="641" ht="15.75" customHeight="1">
      <c r="A641" s="3"/>
      <c r="B641" s="3"/>
      <c r="C641" s="3"/>
      <c r="D641" s="3"/>
      <c r="E641" s="3"/>
      <c r="F641" s="3"/>
      <c r="N641" s="3"/>
    </row>
    <row r="642" ht="15.75" customHeight="1">
      <c r="A642" s="3"/>
      <c r="B642" s="3"/>
      <c r="C642" s="3"/>
      <c r="D642" s="3"/>
      <c r="E642" s="3"/>
      <c r="F642" s="3"/>
      <c r="N642" s="3"/>
    </row>
    <row r="643" ht="15.75" customHeight="1">
      <c r="A643" s="3"/>
      <c r="B643" s="3"/>
      <c r="C643" s="3"/>
      <c r="D643" s="3"/>
      <c r="E643" s="3"/>
      <c r="F643" s="3"/>
      <c r="N643" s="3"/>
    </row>
    <row r="644" ht="15.75" customHeight="1">
      <c r="A644" s="3"/>
      <c r="B644" s="3"/>
      <c r="C644" s="3"/>
      <c r="D644" s="3"/>
      <c r="E644" s="3"/>
      <c r="F644" s="3"/>
      <c r="N644" s="3"/>
    </row>
    <row r="645" ht="15.75" customHeight="1">
      <c r="A645" s="3"/>
      <c r="B645" s="3"/>
      <c r="C645" s="3"/>
      <c r="D645" s="3"/>
      <c r="E645" s="3"/>
      <c r="F645" s="3"/>
      <c r="N645" s="3"/>
    </row>
    <row r="646" ht="15.75" customHeight="1">
      <c r="A646" s="3"/>
      <c r="B646" s="3"/>
      <c r="C646" s="3"/>
      <c r="D646" s="3"/>
      <c r="E646" s="3"/>
      <c r="F646" s="3"/>
      <c r="N646" s="3"/>
    </row>
    <row r="647" ht="15.75" customHeight="1">
      <c r="A647" s="3"/>
      <c r="B647" s="3"/>
      <c r="C647" s="3"/>
      <c r="D647" s="3"/>
      <c r="E647" s="3"/>
      <c r="F647" s="3"/>
      <c r="N647" s="3"/>
    </row>
    <row r="648" ht="15.75" customHeight="1">
      <c r="A648" s="3"/>
      <c r="B648" s="3"/>
      <c r="C648" s="3"/>
      <c r="D648" s="3"/>
      <c r="E648" s="3"/>
      <c r="F648" s="3"/>
      <c r="N648" s="3"/>
    </row>
    <row r="649" ht="15.75" customHeight="1">
      <c r="A649" s="3"/>
      <c r="B649" s="3"/>
      <c r="C649" s="3"/>
      <c r="D649" s="3"/>
      <c r="E649" s="3"/>
      <c r="F649" s="3"/>
      <c r="N649" s="3"/>
    </row>
    <row r="650" ht="15.75" customHeight="1">
      <c r="A650" s="3"/>
      <c r="B650" s="3"/>
      <c r="C650" s="3"/>
      <c r="D650" s="3"/>
      <c r="E650" s="3"/>
      <c r="F650" s="3"/>
      <c r="N650" s="3"/>
    </row>
    <row r="651" ht="15.75" customHeight="1">
      <c r="A651" s="3"/>
      <c r="B651" s="3"/>
      <c r="C651" s="3"/>
      <c r="D651" s="3"/>
      <c r="E651" s="3"/>
      <c r="F651" s="3"/>
      <c r="N651" s="3"/>
    </row>
    <row r="652" ht="15.75" customHeight="1">
      <c r="A652" s="3"/>
      <c r="B652" s="3"/>
      <c r="C652" s="3"/>
      <c r="D652" s="3"/>
      <c r="E652" s="3"/>
      <c r="F652" s="3"/>
      <c r="N652" s="3"/>
    </row>
    <row r="653" ht="15.75" customHeight="1">
      <c r="A653" s="3"/>
      <c r="B653" s="3"/>
      <c r="C653" s="3"/>
      <c r="D653" s="3"/>
      <c r="E653" s="3"/>
      <c r="F653" s="3"/>
      <c r="N653" s="3"/>
    </row>
    <row r="654" ht="15.75" customHeight="1">
      <c r="A654" s="3"/>
      <c r="B654" s="3"/>
      <c r="C654" s="3"/>
      <c r="D654" s="3"/>
      <c r="E654" s="3"/>
      <c r="F654" s="3"/>
      <c r="N654" s="3"/>
    </row>
    <row r="655" ht="15.75" customHeight="1">
      <c r="A655" s="3"/>
      <c r="B655" s="3"/>
      <c r="C655" s="3"/>
      <c r="D655" s="3"/>
      <c r="E655" s="3"/>
      <c r="F655" s="3"/>
      <c r="N655" s="3"/>
    </row>
    <row r="656" ht="15.75" customHeight="1">
      <c r="A656" s="3"/>
      <c r="B656" s="3"/>
      <c r="C656" s="3"/>
      <c r="D656" s="3"/>
      <c r="E656" s="3"/>
      <c r="F656" s="3"/>
      <c r="N656" s="3"/>
    </row>
    <row r="657" ht="15.75" customHeight="1">
      <c r="A657" s="3"/>
      <c r="B657" s="3"/>
      <c r="C657" s="3"/>
      <c r="D657" s="3"/>
      <c r="E657" s="3"/>
      <c r="F657" s="3"/>
      <c r="N657" s="3"/>
    </row>
    <row r="658" ht="15.75" customHeight="1">
      <c r="A658" s="3"/>
      <c r="B658" s="3"/>
      <c r="C658" s="3"/>
      <c r="D658" s="3"/>
      <c r="E658" s="3"/>
      <c r="F658" s="3"/>
      <c r="N658" s="3"/>
    </row>
    <row r="659" ht="15.75" customHeight="1">
      <c r="A659" s="3"/>
      <c r="B659" s="3"/>
      <c r="C659" s="3"/>
      <c r="D659" s="3"/>
      <c r="E659" s="3"/>
      <c r="F659" s="3"/>
      <c r="N659" s="3"/>
    </row>
    <row r="660" ht="15.75" customHeight="1">
      <c r="A660" s="3"/>
      <c r="B660" s="3"/>
      <c r="C660" s="3"/>
      <c r="D660" s="3"/>
      <c r="E660" s="3"/>
      <c r="F660" s="3"/>
      <c r="N660" s="3"/>
    </row>
    <row r="661" ht="15.75" customHeight="1">
      <c r="A661" s="3"/>
      <c r="B661" s="3"/>
      <c r="C661" s="3"/>
      <c r="D661" s="3"/>
      <c r="E661" s="3"/>
      <c r="F661" s="3"/>
      <c r="N661" s="3"/>
    </row>
    <row r="662" ht="15.75" customHeight="1">
      <c r="A662" s="3"/>
      <c r="B662" s="3"/>
      <c r="C662" s="3"/>
      <c r="D662" s="3"/>
      <c r="E662" s="3"/>
      <c r="F662" s="3"/>
      <c r="N662" s="3"/>
    </row>
    <row r="663" ht="15.75" customHeight="1">
      <c r="A663" s="3"/>
      <c r="B663" s="3"/>
      <c r="C663" s="3"/>
      <c r="D663" s="3"/>
      <c r="E663" s="3"/>
      <c r="F663" s="3"/>
      <c r="N663" s="3"/>
    </row>
    <row r="664" ht="15.75" customHeight="1">
      <c r="A664" s="3"/>
      <c r="B664" s="3"/>
      <c r="C664" s="3"/>
      <c r="D664" s="3"/>
      <c r="E664" s="3"/>
      <c r="F664" s="3"/>
      <c r="N664" s="3"/>
    </row>
    <row r="665" ht="15.75" customHeight="1">
      <c r="A665" s="3"/>
      <c r="B665" s="3"/>
      <c r="C665" s="3"/>
      <c r="D665" s="3"/>
      <c r="E665" s="3"/>
      <c r="F665" s="3"/>
      <c r="N665" s="3"/>
    </row>
    <row r="666" ht="15.75" customHeight="1">
      <c r="A666" s="3"/>
      <c r="B666" s="3"/>
      <c r="C666" s="3"/>
      <c r="D666" s="3"/>
      <c r="E666" s="3"/>
      <c r="F666" s="3"/>
      <c r="N666" s="3"/>
    </row>
    <row r="667" ht="15.75" customHeight="1">
      <c r="A667" s="3"/>
      <c r="B667" s="3"/>
      <c r="C667" s="3"/>
      <c r="D667" s="3"/>
      <c r="E667" s="3"/>
      <c r="F667" s="3"/>
      <c r="N667" s="3"/>
    </row>
    <row r="668" ht="15.75" customHeight="1">
      <c r="A668" s="3"/>
      <c r="B668" s="3"/>
      <c r="C668" s="3"/>
      <c r="D668" s="3"/>
      <c r="E668" s="3"/>
      <c r="F668" s="3"/>
      <c r="N668" s="3"/>
    </row>
    <row r="669" ht="15.75" customHeight="1">
      <c r="A669" s="3"/>
      <c r="B669" s="3"/>
      <c r="C669" s="3"/>
      <c r="D669" s="3"/>
      <c r="E669" s="3"/>
      <c r="F669" s="3"/>
      <c r="N669" s="3"/>
    </row>
    <row r="670" ht="15.75" customHeight="1">
      <c r="A670" s="3"/>
      <c r="B670" s="3"/>
      <c r="C670" s="3"/>
      <c r="D670" s="3"/>
      <c r="E670" s="3"/>
      <c r="F670" s="3"/>
      <c r="N670" s="3"/>
    </row>
    <row r="671" ht="15.75" customHeight="1">
      <c r="A671" s="3"/>
      <c r="B671" s="3"/>
      <c r="C671" s="3"/>
      <c r="D671" s="3"/>
      <c r="E671" s="3"/>
      <c r="F671" s="3"/>
      <c r="N671" s="3"/>
    </row>
    <row r="672" ht="15.75" customHeight="1">
      <c r="A672" s="3"/>
      <c r="B672" s="3"/>
      <c r="C672" s="3"/>
      <c r="D672" s="3"/>
      <c r="E672" s="3"/>
      <c r="F672" s="3"/>
      <c r="N672" s="3"/>
    </row>
    <row r="673" ht="15.75" customHeight="1">
      <c r="A673" s="3"/>
      <c r="B673" s="3"/>
      <c r="C673" s="3"/>
      <c r="D673" s="3"/>
      <c r="E673" s="3"/>
      <c r="F673" s="3"/>
      <c r="N673" s="3"/>
    </row>
    <row r="674" ht="15.75" customHeight="1">
      <c r="A674" s="3"/>
      <c r="B674" s="3"/>
      <c r="C674" s="3"/>
      <c r="D674" s="3"/>
      <c r="E674" s="3"/>
      <c r="F674" s="3"/>
      <c r="N674" s="3"/>
    </row>
    <row r="675" ht="15.75" customHeight="1">
      <c r="A675" s="3"/>
      <c r="B675" s="3"/>
      <c r="C675" s="3"/>
      <c r="D675" s="3"/>
      <c r="E675" s="3"/>
      <c r="F675" s="3"/>
      <c r="N675" s="3"/>
    </row>
    <row r="676" ht="15.75" customHeight="1">
      <c r="A676" s="3"/>
      <c r="B676" s="3"/>
      <c r="C676" s="3"/>
      <c r="D676" s="3"/>
      <c r="E676" s="3"/>
      <c r="F676" s="3"/>
      <c r="N676" s="3"/>
    </row>
    <row r="677" ht="15.75" customHeight="1">
      <c r="A677" s="3"/>
      <c r="B677" s="3"/>
      <c r="C677" s="3"/>
      <c r="D677" s="3"/>
      <c r="E677" s="3"/>
      <c r="F677" s="3"/>
      <c r="N677" s="3"/>
    </row>
    <row r="678" ht="15.75" customHeight="1">
      <c r="A678" s="3"/>
      <c r="B678" s="3"/>
      <c r="C678" s="3"/>
      <c r="D678" s="3"/>
      <c r="E678" s="3"/>
      <c r="F678" s="3"/>
      <c r="N678" s="3"/>
    </row>
    <row r="679" ht="15.75" customHeight="1">
      <c r="A679" s="3"/>
      <c r="B679" s="3"/>
      <c r="C679" s="3"/>
      <c r="D679" s="3"/>
      <c r="E679" s="3"/>
      <c r="F679" s="3"/>
      <c r="N679" s="3"/>
    </row>
    <row r="680" ht="15.75" customHeight="1">
      <c r="A680" s="3"/>
      <c r="B680" s="3"/>
      <c r="C680" s="3"/>
      <c r="D680" s="3"/>
      <c r="E680" s="3"/>
      <c r="F680" s="3"/>
      <c r="N680" s="3"/>
    </row>
    <row r="681" ht="15.75" customHeight="1">
      <c r="A681" s="3"/>
      <c r="B681" s="3"/>
      <c r="C681" s="3"/>
      <c r="D681" s="3"/>
      <c r="E681" s="3"/>
      <c r="F681" s="3"/>
      <c r="N681" s="3"/>
    </row>
    <row r="682" ht="15.75" customHeight="1">
      <c r="A682" s="3"/>
      <c r="B682" s="3"/>
      <c r="C682" s="3"/>
      <c r="D682" s="3"/>
      <c r="E682" s="3"/>
      <c r="F682" s="3"/>
      <c r="N682" s="3"/>
    </row>
    <row r="683" ht="15.75" customHeight="1">
      <c r="A683" s="3"/>
      <c r="B683" s="3"/>
      <c r="C683" s="3"/>
      <c r="D683" s="3"/>
      <c r="E683" s="3"/>
      <c r="F683" s="3"/>
      <c r="N683" s="3"/>
    </row>
    <row r="684" ht="15.75" customHeight="1">
      <c r="A684" s="3"/>
      <c r="B684" s="3"/>
      <c r="C684" s="3"/>
      <c r="D684" s="3"/>
      <c r="E684" s="3"/>
      <c r="F684" s="3"/>
      <c r="N684" s="3"/>
    </row>
    <row r="685" ht="15.75" customHeight="1">
      <c r="A685" s="3"/>
      <c r="B685" s="3"/>
      <c r="C685" s="3"/>
      <c r="D685" s="3"/>
      <c r="E685" s="3"/>
      <c r="F685" s="3"/>
      <c r="N685" s="3"/>
    </row>
    <row r="686" ht="15.75" customHeight="1">
      <c r="A686" s="3"/>
      <c r="B686" s="3"/>
      <c r="C686" s="3"/>
      <c r="D686" s="3"/>
      <c r="E686" s="3"/>
      <c r="F686" s="3"/>
      <c r="N686" s="3"/>
    </row>
    <row r="687" ht="15.75" customHeight="1">
      <c r="A687" s="3"/>
      <c r="B687" s="3"/>
      <c r="C687" s="3"/>
      <c r="D687" s="3"/>
      <c r="E687" s="3"/>
      <c r="F687" s="3"/>
      <c r="N687" s="3"/>
    </row>
    <row r="688" ht="15.75" customHeight="1">
      <c r="A688" s="3"/>
      <c r="B688" s="3"/>
      <c r="C688" s="3"/>
      <c r="D688" s="3"/>
      <c r="E688" s="3"/>
      <c r="F688" s="3"/>
      <c r="N688" s="3"/>
    </row>
    <row r="689" ht="15.75" customHeight="1">
      <c r="A689" s="3"/>
      <c r="B689" s="3"/>
      <c r="C689" s="3"/>
      <c r="D689" s="3"/>
      <c r="E689" s="3"/>
      <c r="F689" s="3"/>
      <c r="N689" s="3"/>
    </row>
    <row r="690" ht="15.75" customHeight="1">
      <c r="A690" s="3"/>
      <c r="B690" s="3"/>
      <c r="C690" s="3"/>
      <c r="D690" s="3"/>
      <c r="E690" s="3"/>
      <c r="F690" s="3"/>
      <c r="N690" s="3"/>
    </row>
    <row r="691" ht="15.75" customHeight="1">
      <c r="A691" s="3"/>
      <c r="B691" s="3"/>
      <c r="C691" s="3"/>
      <c r="D691" s="3"/>
      <c r="E691" s="3"/>
      <c r="F691" s="3"/>
      <c r="N691" s="3"/>
    </row>
    <row r="692" ht="15.75" customHeight="1">
      <c r="A692" s="3"/>
      <c r="B692" s="3"/>
      <c r="C692" s="3"/>
      <c r="D692" s="3"/>
      <c r="E692" s="3"/>
      <c r="F692" s="3"/>
      <c r="N692" s="3"/>
    </row>
    <row r="693" ht="15.75" customHeight="1">
      <c r="A693" s="3"/>
      <c r="B693" s="3"/>
      <c r="C693" s="3"/>
      <c r="D693" s="3"/>
      <c r="E693" s="3"/>
      <c r="F693" s="3"/>
      <c r="N693" s="3"/>
    </row>
    <row r="694" ht="15.75" customHeight="1">
      <c r="A694" s="3"/>
      <c r="B694" s="3"/>
      <c r="C694" s="3"/>
      <c r="D694" s="3"/>
      <c r="E694" s="3"/>
      <c r="F694" s="3"/>
      <c r="N694" s="3"/>
    </row>
    <row r="695" ht="15.75" customHeight="1">
      <c r="A695" s="3"/>
      <c r="B695" s="3"/>
      <c r="C695" s="3"/>
      <c r="D695" s="3"/>
      <c r="E695" s="3"/>
      <c r="F695" s="3"/>
      <c r="N695" s="3"/>
    </row>
    <row r="696" ht="15.75" customHeight="1">
      <c r="A696" s="3"/>
      <c r="B696" s="3"/>
      <c r="C696" s="3"/>
      <c r="D696" s="3"/>
      <c r="E696" s="3"/>
      <c r="F696" s="3"/>
      <c r="N696" s="3"/>
    </row>
    <row r="697" ht="15.75" customHeight="1">
      <c r="A697" s="3"/>
      <c r="B697" s="3"/>
      <c r="C697" s="3"/>
      <c r="D697" s="3"/>
      <c r="E697" s="3"/>
      <c r="F697" s="3"/>
      <c r="N697" s="3"/>
    </row>
    <row r="698" ht="15.75" customHeight="1">
      <c r="A698" s="3"/>
      <c r="B698" s="3"/>
      <c r="C698" s="3"/>
      <c r="D698" s="3"/>
      <c r="E698" s="3"/>
      <c r="F698" s="3"/>
      <c r="N698" s="3"/>
    </row>
    <row r="699" ht="15.75" customHeight="1">
      <c r="A699" s="3"/>
      <c r="B699" s="3"/>
      <c r="C699" s="3"/>
      <c r="D699" s="3"/>
      <c r="E699" s="3"/>
      <c r="F699" s="3"/>
      <c r="N699" s="3"/>
    </row>
    <row r="700" ht="15.75" customHeight="1">
      <c r="A700" s="3"/>
      <c r="B700" s="3"/>
      <c r="C700" s="3"/>
      <c r="D700" s="3"/>
      <c r="E700" s="3"/>
      <c r="F700" s="3"/>
      <c r="N700" s="3"/>
    </row>
    <row r="701" ht="15.75" customHeight="1">
      <c r="A701" s="3"/>
      <c r="B701" s="3"/>
      <c r="C701" s="3"/>
      <c r="D701" s="3"/>
      <c r="E701" s="3"/>
      <c r="F701" s="3"/>
      <c r="N701" s="3"/>
    </row>
    <row r="702" ht="15.75" customHeight="1">
      <c r="A702" s="3"/>
      <c r="B702" s="3"/>
      <c r="C702" s="3"/>
      <c r="D702" s="3"/>
      <c r="E702" s="3"/>
      <c r="F702" s="3"/>
      <c r="N702" s="3"/>
    </row>
    <row r="703" ht="15.75" customHeight="1">
      <c r="A703" s="3"/>
      <c r="B703" s="3"/>
      <c r="C703" s="3"/>
      <c r="D703" s="3"/>
      <c r="E703" s="3"/>
      <c r="F703" s="3"/>
      <c r="N703" s="3"/>
    </row>
    <row r="704" ht="15.75" customHeight="1">
      <c r="A704" s="3"/>
      <c r="B704" s="3"/>
      <c r="C704" s="3"/>
      <c r="D704" s="3"/>
      <c r="E704" s="3"/>
      <c r="F704" s="3"/>
      <c r="N704" s="3"/>
    </row>
    <row r="705" ht="15.75" customHeight="1">
      <c r="A705" s="3"/>
      <c r="B705" s="3"/>
      <c r="C705" s="3"/>
      <c r="D705" s="3"/>
      <c r="E705" s="3"/>
      <c r="F705" s="3"/>
      <c r="N705" s="3"/>
    </row>
    <row r="706" ht="15.75" customHeight="1">
      <c r="A706" s="3"/>
      <c r="B706" s="3"/>
      <c r="C706" s="3"/>
      <c r="D706" s="3"/>
      <c r="E706" s="3"/>
      <c r="F706" s="3"/>
      <c r="N706" s="3"/>
    </row>
    <row r="707" ht="15.75" customHeight="1">
      <c r="A707" s="3"/>
      <c r="B707" s="3"/>
      <c r="C707" s="3"/>
      <c r="D707" s="3"/>
      <c r="E707" s="3"/>
      <c r="F707" s="3"/>
      <c r="N707" s="3"/>
    </row>
    <row r="708" ht="15.75" customHeight="1">
      <c r="A708" s="3"/>
      <c r="B708" s="3"/>
      <c r="C708" s="3"/>
      <c r="D708" s="3"/>
      <c r="E708" s="3"/>
      <c r="F708" s="3"/>
      <c r="N708" s="3"/>
    </row>
    <row r="709" ht="15.75" customHeight="1">
      <c r="A709" s="3"/>
      <c r="B709" s="3"/>
      <c r="C709" s="3"/>
      <c r="D709" s="3"/>
      <c r="E709" s="3"/>
      <c r="F709" s="3"/>
      <c r="N709" s="3"/>
    </row>
    <row r="710" ht="15.75" customHeight="1">
      <c r="A710" s="3"/>
      <c r="B710" s="3"/>
      <c r="C710" s="3"/>
      <c r="D710" s="3"/>
      <c r="E710" s="3"/>
      <c r="F710" s="3"/>
      <c r="N710" s="3"/>
    </row>
    <row r="711" ht="15.75" customHeight="1">
      <c r="A711" s="3"/>
      <c r="B711" s="3"/>
      <c r="C711" s="3"/>
      <c r="D711" s="3"/>
      <c r="E711" s="3"/>
      <c r="F711" s="3"/>
      <c r="N711" s="3"/>
    </row>
    <row r="712" ht="15.75" customHeight="1">
      <c r="A712" s="3"/>
      <c r="B712" s="3"/>
      <c r="C712" s="3"/>
      <c r="D712" s="3"/>
      <c r="E712" s="3"/>
      <c r="F712" s="3"/>
      <c r="N712" s="3"/>
    </row>
    <row r="713" ht="15.75" customHeight="1">
      <c r="A713" s="3"/>
      <c r="B713" s="3"/>
      <c r="C713" s="3"/>
      <c r="D713" s="3"/>
      <c r="E713" s="3"/>
      <c r="F713" s="3"/>
      <c r="N713" s="3"/>
    </row>
    <row r="714" ht="15.75" customHeight="1">
      <c r="A714" s="3"/>
      <c r="B714" s="3"/>
      <c r="C714" s="3"/>
      <c r="D714" s="3"/>
      <c r="E714" s="3"/>
      <c r="F714" s="3"/>
      <c r="N714" s="3"/>
    </row>
    <row r="715" ht="15.75" customHeight="1">
      <c r="A715" s="3"/>
      <c r="B715" s="3"/>
      <c r="C715" s="3"/>
      <c r="D715" s="3"/>
      <c r="E715" s="3"/>
      <c r="F715" s="3"/>
      <c r="N715" s="3"/>
    </row>
    <row r="716" ht="15.75" customHeight="1">
      <c r="A716" s="3"/>
      <c r="B716" s="3"/>
      <c r="C716" s="3"/>
      <c r="D716" s="3"/>
      <c r="E716" s="3"/>
      <c r="F716" s="3"/>
      <c r="N716" s="3"/>
    </row>
    <row r="717" ht="15.75" customHeight="1">
      <c r="A717" s="3"/>
      <c r="B717" s="3"/>
      <c r="C717" s="3"/>
      <c r="D717" s="3"/>
      <c r="E717" s="3"/>
      <c r="F717" s="3"/>
      <c r="N717" s="3"/>
    </row>
    <row r="718" ht="15.75" customHeight="1">
      <c r="A718" s="3"/>
      <c r="B718" s="3"/>
      <c r="C718" s="3"/>
      <c r="D718" s="3"/>
      <c r="E718" s="3"/>
      <c r="F718" s="3"/>
      <c r="N718" s="3"/>
    </row>
    <row r="719" ht="15.75" customHeight="1">
      <c r="A719" s="3"/>
      <c r="B719" s="3"/>
      <c r="C719" s="3"/>
      <c r="D719" s="3"/>
      <c r="E719" s="3"/>
      <c r="F719" s="3"/>
      <c r="N719" s="3"/>
    </row>
    <row r="720" ht="15.75" customHeight="1">
      <c r="A720" s="3"/>
      <c r="B720" s="3"/>
      <c r="C720" s="3"/>
      <c r="D720" s="3"/>
      <c r="E720" s="3"/>
      <c r="F720" s="3"/>
      <c r="N720" s="3"/>
    </row>
    <row r="721" ht="15.75" customHeight="1">
      <c r="A721" s="3"/>
      <c r="B721" s="3"/>
      <c r="C721" s="3"/>
      <c r="D721" s="3"/>
      <c r="E721" s="3"/>
      <c r="F721" s="3"/>
      <c r="N721" s="3"/>
    </row>
    <row r="722" ht="15.75" customHeight="1">
      <c r="A722" s="3"/>
      <c r="B722" s="3"/>
      <c r="C722" s="3"/>
      <c r="D722" s="3"/>
      <c r="E722" s="3"/>
      <c r="F722" s="3"/>
      <c r="N722" s="3"/>
    </row>
    <row r="723" ht="15.75" customHeight="1">
      <c r="A723" s="3"/>
      <c r="B723" s="3"/>
      <c r="C723" s="3"/>
      <c r="D723" s="3"/>
      <c r="E723" s="3"/>
      <c r="F723" s="3"/>
      <c r="N723" s="3"/>
    </row>
    <row r="724" ht="15.75" customHeight="1">
      <c r="A724" s="3"/>
      <c r="B724" s="3"/>
      <c r="C724" s="3"/>
      <c r="D724" s="3"/>
      <c r="E724" s="3"/>
      <c r="F724" s="3"/>
      <c r="N724" s="3"/>
    </row>
    <row r="725" ht="15.75" customHeight="1">
      <c r="A725" s="3"/>
      <c r="B725" s="3"/>
      <c r="C725" s="3"/>
      <c r="D725" s="3"/>
      <c r="E725" s="3"/>
      <c r="F725" s="3"/>
      <c r="N725" s="3"/>
    </row>
    <row r="726" ht="15.75" customHeight="1">
      <c r="A726" s="3"/>
      <c r="B726" s="3"/>
      <c r="C726" s="3"/>
      <c r="D726" s="3"/>
      <c r="E726" s="3"/>
      <c r="F726" s="3"/>
      <c r="N726" s="3"/>
    </row>
    <row r="727" ht="15.75" customHeight="1">
      <c r="A727" s="3"/>
      <c r="B727" s="3"/>
      <c r="C727" s="3"/>
      <c r="D727" s="3"/>
      <c r="E727" s="3"/>
      <c r="F727" s="3"/>
      <c r="N727" s="3"/>
    </row>
    <row r="728" ht="15.75" customHeight="1">
      <c r="A728" s="3"/>
      <c r="B728" s="3"/>
      <c r="C728" s="3"/>
      <c r="D728" s="3"/>
      <c r="E728" s="3"/>
      <c r="F728" s="3"/>
      <c r="N728" s="3"/>
    </row>
    <row r="729" ht="15.75" customHeight="1">
      <c r="A729" s="3"/>
      <c r="B729" s="3"/>
      <c r="C729" s="3"/>
      <c r="D729" s="3"/>
      <c r="E729" s="3"/>
      <c r="F729" s="3"/>
      <c r="N729" s="3"/>
    </row>
    <row r="730" ht="15.75" customHeight="1">
      <c r="A730" s="3"/>
      <c r="B730" s="3"/>
      <c r="C730" s="3"/>
      <c r="D730" s="3"/>
      <c r="E730" s="3"/>
      <c r="F730" s="3"/>
      <c r="N730" s="3"/>
    </row>
    <row r="731" ht="15.75" customHeight="1">
      <c r="A731" s="3"/>
      <c r="B731" s="3"/>
      <c r="C731" s="3"/>
      <c r="D731" s="3"/>
      <c r="E731" s="3"/>
      <c r="F731" s="3"/>
      <c r="N731" s="3"/>
    </row>
    <row r="732" ht="15.75" customHeight="1">
      <c r="A732" s="3"/>
      <c r="B732" s="3"/>
      <c r="C732" s="3"/>
      <c r="D732" s="3"/>
      <c r="E732" s="3"/>
      <c r="F732" s="3"/>
      <c r="N732" s="3"/>
    </row>
    <row r="733" ht="15.75" customHeight="1">
      <c r="A733" s="3"/>
      <c r="B733" s="3"/>
      <c r="C733" s="3"/>
      <c r="D733" s="3"/>
      <c r="E733" s="3"/>
      <c r="F733" s="3"/>
      <c r="N733" s="3"/>
    </row>
    <row r="734" ht="15.75" customHeight="1">
      <c r="A734" s="3"/>
      <c r="B734" s="3"/>
      <c r="C734" s="3"/>
      <c r="D734" s="3"/>
      <c r="E734" s="3"/>
      <c r="F734" s="3"/>
      <c r="N734" s="3"/>
    </row>
    <row r="735" ht="15.75" customHeight="1">
      <c r="A735" s="3"/>
      <c r="B735" s="3"/>
      <c r="C735" s="3"/>
      <c r="D735" s="3"/>
      <c r="E735" s="3"/>
      <c r="F735" s="3"/>
      <c r="N735" s="3"/>
    </row>
    <row r="736" ht="15.75" customHeight="1">
      <c r="A736" s="3"/>
      <c r="B736" s="3"/>
      <c r="C736" s="3"/>
      <c r="D736" s="3"/>
      <c r="E736" s="3"/>
      <c r="F736" s="3"/>
      <c r="N736" s="3"/>
    </row>
    <row r="737" ht="15.75" customHeight="1">
      <c r="A737" s="3"/>
      <c r="B737" s="3"/>
      <c r="C737" s="3"/>
      <c r="D737" s="3"/>
      <c r="E737" s="3"/>
      <c r="F737" s="3"/>
      <c r="N737" s="3"/>
    </row>
    <row r="738" ht="15.75" customHeight="1">
      <c r="A738" s="3"/>
      <c r="B738" s="3"/>
      <c r="C738" s="3"/>
      <c r="D738" s="3"/>
      <c r="E738" s="3"/>
      <c r="F738" s="3"/>
      <c r="N738" s="3"/>
    </row>
    <row r="739" ht="15.75" customHeight="1">
      <c r="A739" s="3"/>
      <c r="B739" s="3"/>
      <c r="C739" s="3"/>
      <c r="D739" s="3"/>
      <c r="E739" s="3"/>
      <c r="F739" s="3"/>
      <c r="N739" s="3"/>
    </row>
    <row r="740" ht="15.75" customHeight="1">
      <c r="A740" s="3"/>
      <c r="B740" s="3"/>
      <c r="C740" s="3"/>
      <c r="D740" s="3"/>
      <c r="E740" s="3"/>
      <c r="F740" s="3"/>
      <c r="N740" s="3"/>
    </row>
    <row r="741" ht="15.75" customHeight="1">
      <c r="A741" s="3"/>
      <c r="B741" s="3"/>
      <c r="C741" s="3"/>
      <c r="D741" s="3"/>
      <c r="E741" s="3"/>
      <c r="F741" s="3"/>
      <c r="N741" s="3"/>
    </row>
    <row r="742" ht="15.75" customHeight="1">
      <c r="A742" s="3"/>
      <c r="B742" s="3"/>
      <c r="C742" s="3"/>
      <c r="D742" s="3"/>
      <c r="E742" s="3"/>
      <c r="F742" s="3"/>
      <c r="N742" s="3"/>
    </row>
    <row r="743" ht="15.75" customHeight="1">
      <c r="A743" s="3"/>
      <c r="B743" s="3"/>
      <c r="C743" s="3"/>
      <c r="D743" s="3"/>
      <c r="E743" s="3"/>
      <c r="F743" s="3"/>
      <c r="N743" s="3"/>
    </row>
    <row r="744" ht="15.75" customHeight="1">
      <c r="A744" s="3"/>
      <c r="B744" s="3"/>
      <c r="C744" s="3"/>
      <c r="D744" s="3"/>
      <c r="E744" s="3"/>
      <c r="F744" s="3"/>
      <c r="N744" s="3"/>
    </row>
    <row r="745" ht="15.75" customHeight="1">
      <c r="A745" s="3"/>
      <c r="B745" s="3"/>
      <c r="C745" s="3"/>
      <c r="D745" s="3"/>
      <c r="E745" s="3"/>
      <c r="F745" s="3"/>
      <c r="N745" s="3"/>
    </row>
    <row r="746" ht="15.75" customHeight="1">
      <c r="A746" s="3"/>
      <c r="B746" s="3"/>
      <c r="C746" s="3"/>
      <c r="D746" s="3"/>
      <c r="E746" s="3"/>
      <c r="F746" s="3"/>
      <c r="N746" s="3"/>
    </row>
    <row r="747" ht="15.75" customHeight="1">
      <c r="A747" s="3"/>
      <c r="B747" s="3"/>
      <c r="C747" s="3"/>
      <c r="D747" s="3"/>
      <c r="E747" s="3"/>
      <c r="F747" s="3"/>
      <c r="N747" s="3"/>
    </row>
    <row r="748" ht="15.75" customHeight="1">
      <c r="A748" s="3"/>
      <c r="B748" s="3"/>
      <c r="C748" s="3"/>
      <c r="D748" s="3"/>
      <c r="E748" s="3"/>
      <c r="F748" s="3"/>
      <c r="N748" s="3"/>
    </row>
    <row r="749" ht="15.75" customHeight="1">
      <c r="A749" s="3"/>
      <c r="B749" s="3"/>
      <c r="C749" s="3"/>
      <c r="D749" s="3"/>
      <c r="E749" s="3"/>
      <c r="F749" s="3"/>
      <c r="N749" s="3"/>
    </row>
    <row r="750" ht="15.75" customHeight="1">
      <c r="A750" s="3"/>
      <c r="B750" s="3"/>
      <c r="C750" s="3"/>
      <c r="D750" s="3"/>
      <c r="E750" s="3"/>
      <c r="F750" s="3"/>
      <c r="N750" s="3"/>
    </row>
    <row r="751" ht="15.75" customHeight="1">
      <c r="A751" s="3"/>
      <c r="B751" s="3"/>
      <c r="C751" s="3"/>
      <c r="D751" s="3"/>
      <c r="E751" s="3"/>
      <c r="F751" s="3"/>
      <c r="N751" s="3"/>
    </row>
    <row r="752" ht="15.75" customHeight="1">
      <c r="A752" s="3"/>
      <c r="B752" s="3"/>
      <c r="C752" s="3"/>
      <c r="D752" s="3"/>
      <c r="E752" s="3"/>
      <c r="F752" s="3"/>
      <c r="N752" s="3"/>
    </row>
    <row r="753" ht="15.75" customHeight="1">
      <c r="A753" s="3"/>
      <c r="B753" s="3"/>
      <c r="C753" s="3"/>
      <c r="D753" s="3"/>
      <c r="E753" s="3"/>
      <c r="F753" s="3"/>
      <c r="N753" s="3"/>
    </row>
    <row r="754" ht="15.75" customHeight="1">
      <c r="A754" s="3"/>
      <c r="B754" s="3"/>
      <c r="C754" s="3"/>
      <c r="D754" s="3"/>
      <c r="E754" s="3"/>
      <c r="F754" s="3"/>
      <c r="N754" s="3"/>
    </row>
    <row r="755" ht="15.75" customHeight="1">
      <c r="A755" s="3"/>
      <c r="B755" s="3"/>
      <c r="C755" s="3"/>
      <c r="D755" s="3"/>
      <c r="E755" s="3"/>
      <c r="F755" s="3"/>
      <c r="N755" s="3"/>
    </row>
    <row r="756" ht="15.75" customHeight="1">
      <c r="A756" s="3"/>
      <c r="B756" s="3"/>
      <c r="C756" s="3"/>
      <c r="D756" s="3"/>
      <c r="E756" s="3"/>
      <c r="F756" s="3"/>
      <c r="N756" s="3"/>
    </row>
    <row r="757" ht="15.75" customHeight="1">
      <c r="A757" s="3"/>
      <c r="B757" s="3"/>
      <c r="C757" s="3"/>
      <c r="D757" s="3"/>
      <c r="E757" s="3"/>
      <c r="F757" s="3"/>
      <c r="N757" s="3"/>
    </row>
    <row r="758" ht="15.75" customHeight="1">
      <c r="A758" s="3"/>
      <c r="B758" s="3"/>
      <c r="C758" s="3"/>
      <c r="D758" s="3"/>
      <c r="E758" s="3"/>
      <c r="F758" s="3"/>
      <c r="N758" s="3"/>
    </row>
    <row r="759" ht="15.75" customHeight="1">
      <c r="A759" s="3"/>
      <c r="B759" s="3"/>
      <c r="C759" s="3"/>
      <c r="D759" s="3"/>
      <c r="E759" s="3"/>
      <c r="F759" s="3"/>
      <c r="N759" s="3"/>
    </row>
    <row r="760" ht="15.75" customHeight="1">
      <c r="A760" s="3"/>
      <c r="B760" s="3"/>
      <c r="C760" s="3"/>
      <c r="D760" s="3"/>
      <c r="E760" s="3"/>
      <c r="F760" s="3"/>
      <c r="N760" s="3"/>
    </row>
    <row r="761" ht="15.75" customHeight="1">
      <c r="A761" s="3"/>
      <c r="B761" s="3"/>
      <c r="C761" s="3"/>
      <c r="D761" s="3"/>
      <c r="E761" s="3"/>
      <c r="F761" s="3"/>
      <c r="N761" s="3"/>
    </row>
    <row r="762" ht="15.75" customHeight="1">
      <c r="A762" s="3"/>
      <c r="B762" s="3"/>
      <c r="C762" s="3"/>
      <c r="D762" s="3"/>
      <c r="E762" s="3"/>
      <c r="F762" s="3"/>
      <c r="N762" s="3"/>
    </row>
    <row r="763" ht="15.75" customHeight="1">
      <c r="A763" s="3"/>
      <c r="B763" s="3"/>
      <c r="C763" s="3"/>
      <c r="D763" s="3"/>
      <c r="E763" s="3"/>
      <c r="F763" s="3"/>
      <c r="N763" s="3"/>
    </row>
    <row r="764" ht="15.75" customHeight="1">
      <c r="A764" s="3"/>
      <c r="B764" s="3"/>
      <c r="C764" s="3"/>
      <c r="D764" s="3"/>
      <c r="E764" s="3"/>
      <c r="F764" s="3"/>
      <c r="N764" s="3"/>
    </row>
    <row r="765" ht="15.75" customHeight="1">
      <c r="A765" s="3"/>
      <c r="B765" s="3"/>
      <c r="C765" s="3"/>
      <c r="D765" s="3"/>
      <c r="E765" s="3"/>
      <c r="F765" s="3"/>
      <c r="N765" s="3"/>
    </row>
    <row r="766" ht="15.75" customHeight="1">
      <c r="A766" s="3"/>
      <c r="B766" s="3"/>
      <c r="C766" s="3"/>
      <c r="D766" s="3"/>
      <c r="E766" s="3"/>
      <c r="F766" s="3"/>
      <c r="N766" s="3"/>
    </row>
    <row r="767" ht="15.75" customHeight="1">
      <c r="A767" s="3"/>
      <c r="B767" s="3"/>
      <c r="C767" s="3"/>
      <c r="D767" s="3"/>
      <c r="E767" s="3"/>
      <c r="F767" s="3"/>
      <c r="N767" s="3"/>
    </row>
    <row r="768" ht="15.75" customHeight="1">
      <c r="A768" s="3"/>
      <c r="B768" s="3"/>
      <c r="C768" s="3"/>
      <c r="D768" s="3"/>
      <c r="E768" s="3"/>
      <c r="F768" s="3"/>
      <c r="N768" s="3"/>
    </row>
    <row r="769" ht="15.75" customHeight="1">
      <c r="A769" s="3"/>
      <c r="B769" s="3"/>
      <c r="C769" s="3"/>
      <c r="D769" s="3"/>
      <c r="E769" s="3"/>
      <c r="F769" s="3"/>
      <c r="N769" s="3"/>
    </row>
    <row r="770" ht="15.75" customHeight="1">
      <c r="A770" s="3"/>
      <c r="B770" s="3"/>
      <c r="C770" s="3"/>
      <c r="D770" s="3"/>
      <c r="E770" s="3"/>
      <c r="F770" s="3"/>
      <c r="N770" s="3"/>
    </row>
    <row r="771" ht="15.75" customHeight="1">
      <c r="A771" s="3"/>
      <c r="B771" s="3"/>
      <c r="C771" s="3"/>
      <c r="D771" s="3"/>
      <c r="E771" s="3"/>
      <c r="F771" s="3"/>
      <c r="N771" s="3"/>
    </row>
    <row r="772" ht="15.75" customHeight="1">
      <c r="A772" s="3"/>
      <c r="B772" s="3"/>
      <c r="C772" s="3"/>
      <c r="D772" s="3"/>
      <c r="E772" s="3"/>
      <c r="F772" s="3"/>
      <c r="N772" s="3"/>
    </row>
    <row r="773" ht="15.75" customHeight="1">
      <c r="A773" s="3"/>
      <c r="B773" s="3"/>
      <c r="C773" s="3"/>
      <c r="D773" s="3"/>
      <c r="E773" s="3"/>
      <c r="F773" s="3"/>
      <c r="N773" s="3"/>
    </row>
    <row r="774" ht="15.75" customHeight="1">
      <c r="A774" s="3"/>
      <c r="B774" s="3"/>
      <c r="C774" s="3"/>
      <c r="D774" s="3"/>
      <c r="E774" s="3"/>
      <c r="F774" s="3"/>
      <c r="N774" s="3"/>
    </row>
    <row r="775" ht="15.75" customHeight="1">
      <c r="A775" s="3"/>
      <c r="B775" s="3"/>
      <c r="C775" s="3"/>
      <c r="D775" s="3"/>
      <c r="E775" s="3"/>
      <c r="F775" s="3"/>
      <c r="N775" s="3"/>
    </row>
    <row r="776" ht="15.75" customHeight="1">
      <c r="A776" s="3"/>
      <c r="B776" s="3"/>
      <c r="C776" s="3"/>
      <c r="D776" s="3"/>
      <c r="E776" s="3"/>
      <c r="F776" s="3"/>
      <c r="N776" s="3"/>
    </row>
    <row r="777" ht="15.75" customHeight="1">
      <c r="A777" s="3"/>
      <c r="B777" s="3"/>
      <c r="C777" s="3"/>
      <c r="D777" s="3"/>
      <c r="E777" s="3"/>
      <c r="F777" s="3"/>
      <c r="N777" s="3"/>
    </row>
    <row r="778" ht="15.75" customHeight="1">
      <c r="A778" s="3"/>
      <c r="B778" s="3"/>
      <c r="C778" s="3"/>
      <c r="D778" s="3"/>
      <c r="E778" s="3"/>
      <c r="F778" s="3"/>
      <c r="N778" s="3"/>
    </row>
    <row r="779" ht="15.75" customHeight="1">
      <c r="A779" s="3"/>
      <c r="B779" s="3"/>
      <c r="C779" s="3"/>
      <c r="D779" s="3"/>
      <c r="E779" s="3"/>
      <c r="F779" s="3"/>
      <c r="N779" s="3"/>
    </row>
    <row r="780" ht="15.75" customHeight="1">
      <c r="A780" s="3"/>
      <c r="B780" s="3"/>
      <c r="C780" s="3"/>
      <c r="D780" s="3"/>
      <c r="E780" s="3"/>
      <c r="F780" s="3"/>
      <c r="N780" s="3"/>
    </row>
    <row r="781" ht="15.75" customHeight="1">
      <c r="A781" s="3"/>
      <c r="B781" s="3"/>
      <c r="C781" s="3"/>
      <c r="D781" s="3"/>
      <c r="E781" s="3"/>
      <c r="F781" s="3"/>
      <c r="N781" s="3"/>
    </row>
    <row r="782" ht="15.75" customHeight="1">
      <c r="A782" s="3"/>
      <c r="B782" s="3"/>
      <c r="C782" s="3"/>
      <c r="D782" s="3"/>
      <c r="E782" s="3"/>
      <c r="F782" s="3"/>
      <c r="N782" s="3"/>
    </row>
    <row r="783" ht="15.75" customHeight="1">
      <c r="A783" s="3"/>
      <c r="B783" s="3"/>
      <c r="C783" s="3"/>
      <c r="D783" s="3"/>
      <c r="E783" s="3"/>
      <c r="F783" s="3"/>
      <c r="N783" s="3"/>
    </row>
    <row r="784" ht="15.75" customHeight="1">
      <c r="A784" s="3"/>
      <c r="B784" s="3"/>
      <c r="C784" s="3"/>
      <c r="D784" s="3"/>
      <c r="E784" s="3"/>
      <c r="F784" s="3"/>
      <c r="N784" s="3"/>
    </row>
    <row r="785" ht="15.75" customHeight="1">
      <c r="A785" s="3"/>
      <c r="B785" s="3"/>
      <c r="C785" s="3"/>
      <c r="D785" s="3"/>
      <c r="E785" s="3"/>
      <c r="F785" s="3"/>
      <c r="N785" s="3"/>
    </row>
    <row r="786" ht="15.75" customHeight="1">
      <c r="A786" s="3"/>
      <c r="B786" s="3"/>
      <c r="C786" s="3"/>
      <c r="D786" s="3"/>
      <c r="E786" s="3"/>
      <c r="F786" s="3"/>
      <c r="N786" s="3"/>
    </row>
    <row r="787" ht="15.75" customHeight="1">
      <c r="A787" s="3"/>
      <c r="B787" s="3"/>
      <c r="C787" s="3"/>
      <c r="D787" s="3"/>
      <c r="E787" s="3"/>
      <c r="F787" s="3"/>
      <c r="N787" s="3"/>
    </row>
    <row r="788" ht="15.75" customHeight="1">
      <c r="A788" s="3"/>
      <c r="B788" s="3"/>
      <c r="C788" s="3"/>
      <c r="D788" s="3"/>
      <c r="E788" s="3"/>
      <c r="F788" s="3"/>
      <c r="N788" s="3"/>
    </row>
    <row r="789" ht="15.75" customHeight="1">
      <c r="A789" s="3"/>
      <c r="B789" s="3"/>
      <c r="C789" s="3"/>
      <c r="D789" s="3"/>
      <c r="E789" s="3"/>
      <c r="F789" s="3"/>
      <c r="N789" s="3"/>
    </row>
    <row r="790" ht="15.75" customHeight="1">
      <c r="A790" s="3"/>
      <c r="B790" s="3"/>
      <c r="C790" s="3"/>
      <c r="D790" s="3"/>
      <c r="E790" s="3"/>
      <c r="F790" s="3"/>
      <c r="N790" s="3"/>
    </row>
    <row r="791" ht="15.75" customHeight="1">
      <c r="A791" s="3"/>
      <c r="B791" s="3"/>
      <c r="C791" s="3"/>
      <c r="D791" s="3"/>
      <c r="E791" s="3"/>
      <c r="F791" s="3"/>
      <c r="N791" s="3"/>
    </row>
    <row r="792" ht="15.75" customHeight="1">
      <c r="A792" s="3"/>
      <c r="B792" s="3"/>
      <c r="C792" s="3"/>
      <c r="D792" s="3"/>
      <c r="E792" s="3"/>
      <c r="F792" s="3"/>
      <c r="N792" s="3"/>
    </row>
    <row r="793" ht="15.75" customHeight="1">
      <c r="A793" s="3"/>
      <c r="B793" s="3"/>
      <c r="C793" s="3"/>
      <c r="D793" s="3"/>
      <c r="E793" s="3"/>
      <c r="F793" s="3"/>
      <c r="N793" s="3"/>
    </row>
    <row r="794" ht="15.75" customHeight="1">
      <c r="A794" s="3"/>
      <c r="B794" s="3"/>
      <c r="C794" s="3"/>
      <c r="D794" s="3"/>
      <c r="E794" s="3"/>
      <c r="F794" s="3"/>
      <c r="N794" s="3"/>
    </row>
    <row r="795" ht="15.75" customHeight="1">
      <c r="A795" s="3"/>
      <c r="B795" s="3"/>
      <c r="C795" s="3"/>
      <c r="D795" s="3"/>
      <c r="E795" s="3"/>
      <c r="F795" s="3"/>
      <c r="N795" s="3"/>
    </row>
    <row r="796" ht="15.75" customHeight="1">
      <c r="A796" s="3"/>
      <c r="B796" s="3"/>
      <c r="C796" s="3"/>
      <c r="D796" s="3"/>
      <c r="E796" s="3"/>
      <c r="F796" s="3"/>
      <c r="N796" s="3"/>
    </row>
    <row r="797" ht="15.75" customHeight="1">
      <c r="A797" s="3"/>
      <c r="B797" s="3"/>
      <c r="C797" s="3"/>
      <c r="D797" s="3"/>
      <c r="E797" s="3"/>
      <c r="F797" s="3"/>
      <c r="N797" s="3"/>
    </row>
    <row r="798" ht="15.75" customHeight="1">
      <c r="A798" s="3"/>
      <c r="B798" s="3"/>
      <c r="C798" s="3"/>
      <c r="D798" s="3"/>
      <c r="E798" s="3"/>
      <c r="F798" s="3"/>
      <c r="N798" s="3"/>
    </row>
    <row r="799" ht="15.75" customHeight="1">
      <c r="A799" s="3"/>
      <c r="B799" s="3"/>
      <c r="C799" s="3"/>
      <c r="D799" s="3"/>
      <c r="E799" s="3"/>
      <c r="F799" s="3"/>
      <c r="N799" s="3"/>
    </row>
    <row r="800" ht="15.75" customHeight="1">
      <c r="A800" s="3"/>
      <c r="B800" s="3"/>
      <c r="C800" s="3"/>
      <c r="D800" s="3"/>
      <c r="E800" s="3"/>
      <c r="F800" s="3"/>
      <c r="N800" s="3"/>
    </row>
    <row r="801" ht="15.75" customHeight="1">
      <c r="A801" s="3"/>
      <c r="B801" s="3"/>
      <c r="C801" s="3"/>
      <c r="D801" s="3"/>
      <c r="E801" s="3"/>
      <c r="F801" s="3"/>
      <c r="N801" s="3"/>
    </row>
    <row r="802" ht="15.75" customHeight="1">
      <c r="A802" s="3"/>
      <c r="B802" s="3"/>
      <c r="C802" s="3"/>
      <c r="D802" s="3"/>
      <c r="E802" s="3"/>
      <c r="F802" s="3"/>
      <c r="N802" s="3"/>
    </row>
    <row r="803" ht="15.75" customHeight="1">
      <c r="A803" s="3"/>
      <c r="B803" s="3"/>
      <c r="C803" s="3"/>
      <c r="D803" s="3"/>
      <c r="E803" s="3"/>
      <c r="F803" s="3"/>
      <c r="N803" s="3"/>
    </row>
    <row r="804" ht="15.75" customHeight="1">
      <c r="A804" s="3"/>
      <c r="B804" s="3"/>
      <c r="C804" s="3"/>
      <c r="D804" s="3"/>
      <c r="E804" s="3"/>
      <c r="F804" s="3"/>
      <c r="N804" s="3"/>
    </row>
    <row r="805" ht="15.75" customHeight="1">
      <c r="A805" s="3"/>
      <c r="B805" s="3"/>
      <c r="C805" s="3"/>
      <c r="D805" s="3"/>
      <c r="E805" s="3"/>
      <c r="F805" s="3"/>
      <c r="N805" s="3"/>
    </row>
    <row r="806" ht="15.75" customHeight="1">
      <c r="A806" s="3"/>
      <c r="B806" s="3"/>
      <c r="C806" s="3"/>
      <c r="D806" s="3"/>
      <c r="E806" s="3"/>
      <c r="F806" s="3"/>
      <c r="N806" s="3"/>
    </row>
    <row r="807" ht="15.75" customHeight="1">
      <c r="A807" s="3"/>
      <c r="B807" s="3"/>
      <c r="C807" s="3"/>
      <c r="D807" s="3"/>
      <c r="E807" s="3"/>
      <c r="F807" s="3"/>
      <c r="N807" s="3"/>
    </row>
    <row r="808" ht="15.75" customHeight="1">
      <c r="A808" s="3"/>
      <c r="B808" s="3"/>
      <c r="C808" s="3"/>
      <c r="D808" s="3"/>
      <c r="E808" s="3"/>
      <c r="F808" s="3"/>
      <c r="N808" s="3"/>
    </row>
    <row r="809" ht="15.75" customHeight="1">
      <c r="A809" s="3"/>
      <c r="B809" s="3"/>
      <c r="C809" s="3"/>
      <c r="D809" s="3"/>
      <c r="E809" s="3"/>
      <c r="F809" s="3"/>
      <c r="N809" s="3"/>
    </row>
    <row r="810" ht="15.75" customHeight="1">
      <c r="A810" s="3"/>
      <c r="B810" s="3"/>
      <c r="C810" s="3"/>
      <c r="D810" s="3"/>
      <c r="E810" s="3"/>
      <c r="F810" s="3"/>
      <c r="N810" s="3"/>
    </row>
    <row r="811" ht="15.75" customHeight="1">
      <c r="A811" s="3"/>
      <c r="B811" s="3"/>
      <c r="C811" s="3"/>
      <c r="D811" s="3"/>
      <c r="E811" s="3"/>
      <c r="F811" s="3"/>
      <c r="N811" s="3"/>
    </row>
    <row r="812" ht="15.75" customHeight="1">
      <c r="A812" s="3"/>
      <c r="B812" s="3"/>
      <c r="C812" s="3"/>
      <c r="D812" s="3"/>
      <c r="E812" s="3"/>
      <c r="F812" s="3"/>
      <c r="N812" s="3"/>
    </row>
    <row r="813" ht="15.75" customHeight="1">
      <c r="A813" s="3"/>
      <c r="B813" s="3"/>
      <c r="C813" s="3"/>
      <c r="D813" s="3"/>
      <c r="E813" s="3"/>
      <c r="F813" s="3"/>
      <c r="N813" s="3"/>
    </row>
    <row r="814" ht="15.75" customHeight="1">
      <c r="A814" s="3"/>
      <c r="B814" s="3"/>
      <c r="C814" s="3"/>
      <c r="D814" s="3"/>
      <c r="E814" s="3"/>
      <c r="F814" s="3"/>
      <c r="N814" s="3"/>
    </row>
    <row r="815" ht="15.75" customHeight="1">
      <c r="A815" s="3"/>
      <c r="B815" s="3"/>
      <c r="C815" s="3"/>
      <c r="D815" s="3"/>
      <c r="E815" s="3"/>
      <c r="F815" s="3"/>
      <c r="N815" s="3"/>
    </row>
    <row r="816" ht="15.75" customHeight="1">
      <c r="A816" s="3"/>
      <c r="B816" s="3"/>
      <c r="C816" s="3"/>
      <c r="D816" s="3"/>
      <c r="E816" s="3"/>
      <c r="F816" s="3"/>
      <c r="N816" s="3"/>
    </row>
    <row r="817" ht="15.75" customHeight="1">
      <c r="A817" s="3"/>
      <c r="B817" s="3"/>
      <c r="C817" s="3"/>
      <c r="D817" s="3"/>
      <c r="E817" s="3"/>
      <c r="F817" s="3"/>
      <c r="N817" s="3"/>
    </row>
    <row r="818" ht="15.75" customHeight="1">
      <c r="A818" s="3"/>
      <c r="B818" s="3"/>
      <c r="C818" s="3"/>
      <c r="D818" s="3"/>
      <c r="E818" s="3"/>
      <c r="F818" s="3"/>
      <c r="N818" s="3"/>
    </row>
    <row r="819" ht="15.75" customHeight="1">
      <c r="A819" s="3"/>
      <c r="B819" s="3"/>
      <c r="C819" s="3"/>
      <c r="D819" s="3"/>
      <c r="E819" s="3"/>
      <c r="F819" s="3"/>
      <c r="N819" s="3"/>
    </row>
    <row r="820" ht="15.75" customHeight="1">
      <c r="A820" s="3"/>
      <c r="B820" s="3"/>
      <c r="C820" s="3"/>
      <c r="D820" s="3"/>
      <c r="E820" s="3"/>
      <c r="F820" s="3"/>
      <c r="N820" s="3"/>
    </row>
    <row r="821" ht="15.75" customHeight="1">
      <c r="A821" s="3"/>
      <c r="B821" s="3"/>
      <c r="C821" s="3"/>
      <c r="D821" s="3"/>
      <c r="E821" s="3"/>
      <c r="F821" s="3"/>
      <c r="N821" s="3"/>
    </row>
    <row r="822" ht="15.75" customHeight="1">
      <c r="A822" s="3"/>
      <c r="B822" s="3"/>
      <c r="C822" s="3"/>
      <c r="D822" s="3"/>
      <c r="E822" s="3"/>
      <c r="F822" s="3"/>
      <c r="N822" s="3"/>
    </row>
    <row r="823" ht="15.75" customHeight="1">
      <c r="A823" s="3"/>
      <c r="B823" s="3"/>
      <c r="C823" s="3"/>
      <c r="D823" s="3"/>
      <c r="E823" s="3"/>
      <c r="F823" s="3"/>
      <c r="N823" s="3"/>
    </row>
    <row r="824" ht="15.75" customHeight="1">
      <c r="A824" s="3"/>
      <c r="B824" s="3"/>
      <c r="C824" s="3"/>
      <c r="D824" s="3"/>
      <c r="E824" s="3"/>
      <c r="F824" s="3"/>
      <c r="N824" s="3"/>
    </row>
    <row r="825" ht="15.75" customHeight="1">
      <c r="A825" s="3"/>
      <c r="B825" s="3"/>
      <c r="C825" s="3"/>
      <c r="D825" s="3"/>
      <c r="E825" s="3"/>
      <c r="F825" s="3"/>
      <c r="N825" s="3"/>
    </row>
    <row r="826" ht="15.75" customHeight="1">
      <c r="A826" s="3"/>
      <c r="B826" s="3"/>
      <c r="C826" s="3"/>
      <c r="D826" s="3"/>
      <c r="E826" s="3"/>
      <c r="F826" s="3"/>
      <c r="N826" s="3"/>
    </row>
    <row r="827" ht="15.75" customHeight="1">
      <c r="A827" s="3"/>
      <c r="B827" s="3"/>
      <c r="C827" s="3"/>
      <c r="D827" s="3"/>
      <c r="E827" s="3"/>
      <c r="F827" s="3"/>
      <c r="N827" s="3"/>
    </row>
    <row r="828" ht="15.75" customHeight="1">
      <c r="A828" s="3"/>
      <c r="B828" s="3"/>
      <c r="C828" s="3"/>
      <c r="D828" s="3"/>
      <c r="E828" s="3"/>
      <c r="F828" s="3"/>
      <c r="N828" s="3"/>
    </row>
    <row r="829" ht="15.75" customHeight="1">
      <c r="A829" s="3"/>
      <c r="B829" s="3"/>
      <c r="C829" s="3"/>
      <c r="D829" s="3"/>
      <c r="E829" s="3"/>
      <c r="F829" s="3"/>
      <c r="N829" s="3"/>
    </row>
    <row r="830" ht="15.75" customHeight="1">
      <c r="A830" s="3"/>
      <c r="B830" s="3"/>
      <c r="C830" s="3"/>
      <c r="D830" s="3"/>
      <c r="E830" s="3"/>
      <c r="F830" s="3"/>
      <c r="N830" s="3"/>
    </row>
    <row r="831" ht="15.75" customHeight="1">
      <c r="A831" s="3"/>
      <c r="B831" s="3"/>
      <c r="C831" s="3"/>
      <c r="D831" s="3"/>
      <c r="E831" s="3"/>
      <c r="F831" s="3"/>
      <c r="N831" s="3"/>
    </row>
    <row r="832" ht="15.75" customHeight="1">
      <c r="A832" s="3"/>
      <c r="B832" s="3"/>
      <c r="C832" s="3"/>
      <c r="D832" s="3"/>
      <c r="E832" s="3"/>
      <c r="F832" s="3"/>
      <c r="N832" s="3"/>
    </row>
    <row r="833" ht="15.75" customHeight="1">
      <c r="A833" s="3"/>
      <c r="B833" s="3"/>
      <c r="C833" s="3"/>
      <c r="D833" s="3"/>
      <c r="E833" s="3"/>
      <c r="F833" s="3"/>
      <c r="N833" s="3"/>
    </row>
    <row r="834" ht="15.75" customHeight="1">
      <c r="A834" s="3"/>
      <c r="B834" s="3"/>
      <c r="C834" s="3"/>
      <c r="D834" s="3"/>
      <c r="E834" s="3"/>
      <c r="F834" s="3"/>
      <c r="N834" s="3"/>
    </row>
    <row r="835" ht="15.75" customHeight="1">
      <c r="A835" s="3"/>
      <c r="B835" s="3"/>
      <c r="C835" s="3"/>
      <c r="D835" s="3"/>
      <c r="E835" s="3"/>
      <c r="F835" s="3"/>
      <c r="N835" s="3"/>
    </row>
    <row r="836" ht="15.75" customHeight="1">
      <c r="A836" s="3"/>
      <c r="B836" s="3"/>
      <c r="C836" s="3"/>
      <c r="D836" s="3"/>
      <c r="E836" s="3"/>
      <c r="F836" s="3"/>
      <c r="N836" s="3"/>
    </row>
    <row r="837" ht="15.75" customHeight="1">
      <c r="A837" s="3"/>
      <c r="B837" s="3"/>
      <c r="C837" s="3"/>
      <c r="D837" s="3"/>
      <c r="E837" s="3"/>
      <c r="F837" s="3"/>
      <c r="N837" s="3"/>
    </row>
    <row r="838" ht="15.75" customHeight="1">
      <c r="A838" s="3"/>
      <c r="B838" s="3"/>
      <c r="C838" s="3"/>
      <c r="D838" s="3"/>
      <c r="E838" s="3"/>
      <c r="F838" s="3"/>
      <c r="N838" s="3"/>
    </row>
    <row r="839" ht="15.75" customHeight="1">
      <c r="A839" s="3"/>
      <c r="B839" s="3"/>
      <c r="C839" s="3"/>
      <c r="D839" s="3"/>
      <c r="E839" s="3"/>
      <c r="F839" s="3"/>
      <c r="N839" s="3"/>
    </row>
    <row r="840" ht="15.75" customHeight="1">
      <c r="A840" s="3"/>
      <c r="B840" s="3"/>
      <c r="C840" s="3"/>
      <c r="D840" s="3"/>
      <c r="E840" s="3"/>
      <c r="F840" s="3"/>
      <c r="N840" s="3"/>
    </row>
    <row r="841" ht="15.75" customHeight="1">
      <c r="A841" s="3"/>
      <c r="B841" s="3"/>
      <c r="C841" s="3"/>
      <c r="D841" s="3"/>
      <c r="E841" s="3"/>
      <c r="F841" s="3"/>
      <c r="N841" s="3"/>
    </row>
    <row r="842" ht="15.75" customHeight="1">
      <c r="A842" s="3"/>
      <c r="B842" s="3"/>
      <c r="C842" s="3"/>
      <c r="D842" s="3"/>
      <c r="E842" s="3"/>
      <c r="F842" s="3"/>
      <c r="N842" s="3"/>
    </row>
    <row r="843" ht="15.75" customHeight="1">
      <c r="A843" s="3"/>
      <c r="B843" s="3"/>
      <c r="C843" s="3"/>
      <c r="D843" s="3"/>
      <c r="E843" s="3"/>
      <c r="F843" s="3"/>
      <c r="N843" s="3"/>
    </row>
    <row r="844" ht="15.75" customHeight="1">
      <c r="A844" s="3"/>
      <c r="B844" s="3"/>
      <c r="C844" s="3"/>
      <c r="D844" s="3"/>
      <c r="E844" s="3"/>
      <c r="F844" s="3"/>
      <c r="N844" s="3"/>
    </row>
    <row r="845" ht="15.75" customHeight="1">
      <c r="A845" s="3"/>
      <c r="B845" s="3"/>
      <c r="C845" s="3"/>
      <c r="D845" s="3"/>
      <c r="E845" s="3"/>
      <c r="F845" s="3"/>
      <c r="N845" s="3"/>
    </row>
    <row r="846" ht="15.75" customHeight="1">
      <c r="A846" s="3"/>
      <c r="B846" s="3"/>
      <c r="C846" s="3"/>
      <c r="D846" s="3"/>
      <c r="E846" s="3"/>
      <c r="F846" s="3"/>
      <c r="N846" s="3"/>
    </row>
    <row r="847" ht="15.75" customHeight="1">
      <c r="A847" s="3"/>
      <c r="B847" s="3"/>
      <c r="C847" s="3"/>
      <c r="D847" s="3"/>
      <c r="E847" s="3"/>
      <c r="F847" s="3"/>
      <c r="N847" s="3"/>
    </row>
    <row r="848" ht="15.75" customHeight="1">
      <c r="A848" s="3"/>
      <c r="B848" s="3"/>
      <c r="C848" s="3"/>
      <c r="D848" s="3"/>
      <c r="E848" s="3"/>
      <c r="F848" s="3"/>
      <c r="N848" s="3"/>
    </row>
    <row r="849" ht="15.75" customHeight="1">
      <c r="A849" s="3"/>
      <c r="B849" s="3"/>
      <c r="C849" s="3"/>
      <c r="D849" s="3"/>
      <c r="E849" s="3"/>
      <c r="F849" s="3"/>
      <c r="N849" s="3"/>
    </row>
    <row r="850" ht="15.75" customHeight="1">
      <c r="A850" s="3"/>
      <c r="B850" s="3"/>
      <c r="C850" s="3"/>
      <c r="D850" s="3"/>
      <c r="E850" s="3"/>
      <c r="F850" s="3"/>
      <c r="N850" s="3"/>
    </row>
    <row r="851" ht="15.75" customHeight="1">
      <c r="A851" s="3"/>
      <c r="B851" s="3"/>
      <c r="C851" s="3"/>
      <c r="D851" s="3"/>
      <c r="E851" s="3"/>
      <c r="F851" s="3"/>
      <c r="N851" s="3"/>
    </row>
    <row r="852" ht="15.75" customHeight="1">
      <c r="A852" s="3"/>
      <c r="B852" s="3"/>
      <c r="C852" s="3"/>
      <c r="D852" s="3"/>
      <c r="E852" s="3"/>
      <c r="F852" s="3"/>
      <c r="N852" s="3"/>
    </row>
    <row r="853" ht="15.75" customHeight="1">
      <c r="A853" s="3"/>
      <c r="B853" s="3"/>
      <c r="C853" s="3"/>
      <c r="D853" s="3"/>
      <c r="E853" s="3"/>
      <c r="F853" s="3"/>
      <c r="N853" s="3"/>
    </row>
    <row r="854" ht="15.75" customHeight="1">
      <c r="A854" s="3"/>
      <c r="B854" s="3"/>
      <c r="C854" s="3"/>
      <c r="D854" s="3"/>
      <c r="E854" s="3"/>
      <c r="F854" s="3"/>
      <c r="N854" s="3"/>
    </row>
    <row r="855" ht="15.75" customHeight="1">
      <c r="A855" s="3"/>
      <c r="B855" s="3"/>
      <c r="C855" s="3"/>
      <c r="D855" s="3"/>
      <c r="E855" s="3"/>
      <c r="F855" s="3"/>
      <c r="N855" s="3"/>
    </row>
    <row r="856" ht="15.75" customHeight="1">
      <c r="A856" s="3"/>
      <c r="B856" s="3"/>
      <c r="C856" s="3"/>
      <c r="D856" s="3"/>
      <c r="E856" s="3"/>
      <c r="F856" s="3"/>
      <c r="N856" s="3"/>
    </row>
    <row r="857" ht="15.75" customHeight="1">
      <c r="A857" s="3"/>
      <c r="B857" s="3"/>
      <c r="C857" s="3"/>
      <c r="D857" s="3"/>
      <c r="E857" s="3"/>
      <c r="F857" s="3"/>
      <c r="N857" s="3"/>
    </row>
    <row r="858" ht="15.75" customHeight="1">
      <c r="A858" s="3"/>
      <c r="B858" s="3"/>
      <c r="C858" s="3"/>
      <c r="D858" s="3"/>
      <c r="E858" s="3"/>
      <c r="F858" s="3"/>
      <c r="N858" s="3"/>
    </row>
    <row r="859" ht="15.75" customHeight="1">
      <c r="A859" s="3"/>
      <c r="B859" s="3"/>
      <c r="C859" s="3"/>
      <c r="D859" s="3"/>
      <c r="E859" s="3"/>
      <c r="F859" s="3"/>
      <c r="N859" s="3"/>
    </row>
    <row r="860" ht="15.75" customHeight="1">
      <c r="A860" s="3"/>
      <c r="B860" s="3"/>
      <c r="C860" s="3"/>
      <c r="D860" s="3"/>
      <c r="E860" s="3"/>
      <c r="F860" s="3"/>
      <c r="N860" s="3"/>
    </row>
    <row r="861" ht="15.75" customHeight="1">
      <c r="A861" s="3"/>
      <c r="B861" s="3"/>
      <c r="C861" s="3"/>
      <c r="D861" s="3"/>
      <c r="E861" s="3"/>
      <c r="F861" s="3"/>
      <c r="N861" s="3"/>
    </row>
    <row r="862" ht="15.75" customHeight="1">
      <c r="A862" s="3"/>
      <c r="B862" s="3"/>
      <c r="C862" s="3"/>
      <c r="D862" s="3"/>
      <c r="E862" s="3"/>
      <c r="F862" s="3"/>
      <c r="N862" s="3"/>
    </row>
    <row r="863" ht="15.75" customHeight="1">
      <c r="A863" s="3"/>
      <c r="B863" s="3"/>
      <c r="C863" s="3"/>
      <c r="D863" s="3"/>
      <c r="E863" s="3"/>
      <c r="F863" s="3"/>
      <c r="N863" s="3"/>
    </row>
    <row r="864" ht="15.75" customHeight="1">
      <c r="A864" s="3"/>
      <c r="B864" s="3"/>
      <c r="C864" s="3"/>
      <c r="D864" s="3"/>
      <c r="E864" s="3"/>
      <c r="F864" s="3"/>
      <c r="N864" s="3"/>
    </row>
    <row r="865" ht="15.75" customHeight="1">
      <c r="A865" s="3"/>
      <c r="B865" s="3"/>
      <c r="C865" s="3"/>
      <c r="D865" s="3"/>
      <c r="E865" s="3"/>
      <c r="F865" s="3"/>
      <c r="N865" s="3"/>
    </row>
    <row r="866" ht="15.75" customHeight="1">
      <c r="A866" s="3"/>
      <c r="B866" s="3"/>
      <c r="C866" s="3"/>
      <c r="D866" s="3"/>
      <c r="E866" s="3"/>
      <c r="F866" s="3"/>
      <c r="N866" s="3"/>
    </row>
    <row r="867" ht="15.75" customHeight="1">
      <c r="A867" s="3"/>
      <c r="B867" s="3"/>
      <c r="C867" s="3"/>
      <c r="D867" s="3"/>
      <c r="E867" s="3"/>
      <c r="F867" s="3"/>
      <c r="N867" s="3"/>
    </row>
    <row r="868" ht="15.75" customHeight="1">
      <c r="A868" s="3"/>
      <c r="B868" s="3"/>
      <c r="C868" s="3"/>
      <c r="D868" s="3"/>
      <c r="E868" s="3"/>
      <c r="F868" s="3"/>
      <c r="N868" s="3"/>
    </row>
    <row r="869" ht="15.75" customHeight="1">
      <c r="A869" s="3"/>
      <c r="B869" s="3"/>
      <c r="C869" s="3"/>
      <c r="D869" s="3"/>
      <c r="E869" s="3"/>
      <c r="F869" s="3"/>
      <c r="N869" s="3"/>
    </row>
    <row r="870" ht="15.75" customHeight="1">
      <c r="A870" s="3"/>
      <c r="B870" s="3"/>
      <c r="C870" s="3"/>
      <c r="D870" s="3"/>
      <c r="E870" s="3"/>
      <c r="F870" s="3"/>
      <c r="N870" s="3"/>
    </row>
    <row r="871" ht="15.75" customHeight="1">
      <c r="A871" s="3"/>
      <c r="B871" s="3"/>
      <c r="C871" s="3"/>
      <c r="D871" s="3"/>
      <c r="E871" s="3"/>
      <c r="F871" s="3"/>
      <c r="N871" s="3"/>
    </row>
    <row r="872" ht="15.75" customHeight="1">
      <c r="A872" s="3"/>
      <c r="B872" s="3"/>
      <c r="C872" s="3"/>
      <c r="D872" s="3"/>
      <c r="E872" s="3"/>
      <c r="F872" s="3"/>
      <c r="N872" s="3"/>
    </row>
    <row r="873" ht="15.75" customHeight="1">
      <c r="A873" s="3"/>
      <c r="B873" s="3"/>
      <c r="C873" s="3"/>
      <c r="D873" s="3"/>
      <c r="E873" s="3"/>
      <c r="F873" s="3"/>
      <c r="N873" s="3"/>
    </row>
    <row r="874" ht="15.75" customHeight="1">
      <c r="A874" s="3"/>
      <c r="B874" s="3"/>
      <c r="C874" s="3"/>
      <c r="D874" s="3"/>
      <c r="E874" s="3"/>
      <c r="F874" s="3"/>
      <c r="N874" s="3"/>
    </row>
    <row r="875" ht="15.75" customHeight="1">
      <c r="A875" s="3"/>
      <c r="B875" s="3"/>
      <c r="C875" s="3"/>
      <c r="D875" s="3"/>
      <c r="E875" s="3"/>
      <c r="F875" s="3"/>
      <c r="N875" s="3"/>
    </row>
    <row r="876" ht="15.75" customHeight="1">
      <c r="A876" s="3"/>
      <c r="B876" s="3"/>
      <c r="C876" s="3"/>
      <c r="D876" s="3"/>
      <c r="E876" s="3"/>
      <c r="F876" s="3"/>
      <c r="N876" s="3"/>
    </row>
    <row r="877" ht="15.75" customHeight="1">
      <c r="A877" s="3"/>
      <c r="B877" s="3"/>
      <c r="C877" s="3"/>
      <c r="D877" s="3"/>
      <c r="E877" s="3"/>
      <c r="F877" s="3"/>
      <c r="N877" s="3"/>
    </row>
    <row r="878" ht="15.75" customHeight="1">
      <c r="A878" s="3"/>
      <c r="B878" s="3"/>
      <c r="C878" s="3"/>
      <c r="D878" s="3"/>
      <c r="E878" s="3"/>
      <c r="F878" s="3"/>
      <c r="N878" s="3"/>
    </row>
    <row r="879" ht="15.75" customHeight="1">
      <c r="A879" s="3"/>
      <c r="B879" s="3"/>
      <c r="C879" s="3"/>
      <c r="D879" s="3"/>
      <c r="E879" s="3"/>
      <c r="F879" s="3"/>
      <c r="N879" s="3"/>
    </row>
    <row r="880" ht="15.75" customHeight="1">
      <c r="A880" s="3"/>
      <c r="B880" s="3"/>
      <c r="C880" s="3"/>
      <c r="D880" s="3"/>
      <c r="E880" s="3"/>
      <c r="F880" s="3"/>
      <c r="N880" s="3"/>
    </row>
    <row r="881" ht="15.75" customHeight="1">
      <c r="A881" s="3"/>
      <c r="B881" s="3"/>
      <c r="C881" s="3"/>
      <c r="D881" s="3"/>
      <c r="E881" s="3"/>
      <c r="F881" s="3"/>
      <c r="N881" s="3"/>
    </row>
    <row r="882" ht="15.75" customHeight="1">
      <c r="A882" s="3"/>
      <c r="B882" s="3"/>
      <c r="C882" s="3"/>
      <c r="D882" s="3"/>
      <c r="E882" s="3"/>
      <c r="F882" s="3"/>
      <c r="N882" s="3"/>
    </row>
    <row r="883" ht="15.75" customHeight="1">
      <c r="A883" s="3"/>
      <c r="B883" s="3"/>
      <c r="C883" s="3"/>
      <c r="D883" s="3"/>
      <c r="E883" s="3"/>
      <c r="F883" s="3"/>
      <c r="N883" s="3"/>
    </row>
    <row r="884" ht="15.75" customHeight="1">
      <c r="A884" s="3"/>
      <c r="B884" s="3"/>
      <c r="C884" s="3"/>
      <c r="D884" s="3"/>
      <c r="E884" s="3"/>
      <c r="F884" s="3"/>
      <c r="N884" s="3"/>
    </row>
    <row r="885" ht="15.75" customHeight="1">
      <c r="A885" s="3"/>
      <c r="B885" s="3"/>
      <c r="C885" s="3"/>
      <c r="D885" s="3"/>
      <c r="E885" s="3"/>
      <c r="F885" s="3"/>
      <c r="N885" s="3"/>
    </row>
    <row r="886" ht="15.75" customHeight="1">
      <c r="A886" s="3"/>
      <c r="B886" s="3"/>
      <c r="C886" s="3"/>
      <c r="D886" s="3"/>
      <c r="E886" s="3"/>
      <c r="F886" s="3"/>
      <c r="N886" s="3"/>
    </row>
    <row r="887" ht="15.75" customHeight="1">
      <c r="A887" s="3"/>
      <c r="B887" s="3"/>
      <c r="C887" s="3"/>
      <c r="D887" s="3"/>
      <c r="E887" s="3"/>
      <c r="F887" s="3"/>
      <c r="N887" s="3"/>
    </row>
    <row r="888" ht="15.75" customHeight="1">
      <c r="A888" s="3"/>
      <c r="B888" s="3"/>
      <c r="C888" s="3"/>
      <c r="D888" s="3"/>
      <c r="E888" s="3"/>
      <c r="F888" s="3"/>
      <c r="N888" s="3"/>
    </row>
    <row r="889" ht="15.75" customHeight="1">
      <c r="A889" s="3"/>
      <c r="B889" s="3"/>
      <c r="C889" s="3"/>
      <c r="D889" s="3"/>
      <c r="E889" s="3"/>
      <c r="F889" s="3"/>
      <c r="N889" s="3"/>
    </row>
    <row r="890" ht="15.75" customHeight="1">
      <c r="A890" s="3"/>
      <c r="B890" s="3"/>
      <c r="C890" s="3"/>
      <c r="D890" s="3"/>
      <c r="E890" s="3"/>
      <c r="F890" s="3"/>
      <c r="N890" s="3"/>
    </row>
    <row r="891" ht="15.75" customHeight="1">
      <c r="A891" s="3"/>
      <c r="B891" s="3"/>
      <c r="C891" s="3"/>
      <c r="D891" s="3"/>
      <c r="E891" s="3"/>
      <c r="F891" s="3"/>
      <c r="N891" s="3"/>
    </row>
    <row r="892" ht="15.75" customHeight="1">
      <c r="A892" s="3"/>
      <c r="B892" s="3"/>
      <c r="C892" s="3"/>
      <c r="D892" s="3"/>
      <c r="E892" s="3"/>
      <c r="F892" s="3"/>
      <c r="N892" s="3"/>
    </row>
    <row r="893" ht="15.75" customHeight="1">
      <c r="A893" s="3"/>
      <c r="B893" s="3"/>
      <c r="C893" s="3"/>
      <c r="D893" s="3"/>
      <c r="E893" s="3"/>
      <c r="F893" s="3"/>
      <c r="N893" s="3"/>
    </row>
    <row r="894" ht="15.75" customHeight="1">
      <c r="A894" s="3"/>
      <c r="B894" s="3"/>
      <c r="C894" s="3"/>
      <c r="D894" s="3"/>
      <c r="E894" s="3"/>
      <c r="F894" s="3"/>
      <c r="N894" s="3"/>
    </row>
    <row r="895" ht="15.75" customHeight="1">
      <c r="A895" s="3"/>
      <c r="B895" s="3"/>
      <c r="C895" s="3"/>
      <c r="D895" s="3"/>
      <c r="E895" s="3"/>
      <c r="F895" s="3"/>
      <c r="N895" s="3"/>
    </row>
    <row r="896" ht="15.75" customHeight="1">
      <c r="A896" s="3"/>
      <c r="B896" s="3"/>
      <c r="C896" s="3"/>
      <c r="D896" s="3"/>
      <c r="E896" s="3"/>
      <c r="F896" s="3"/>
      <c r="N896" s="3"/>
    </row>
    <row r="897" ht="15.75" customHeight="1">
      <c r="A897" s="3"/>
      <c r="B897" s="3"/>
      <c r="C897" s="3"/>
      <c r="D897" s="3"/>
      <c r="E897" s="3"/>
      <c r="F897" s="3"/>
      <c r="N897" s="3"/>
    </row>
    <row r="898" ht="15.75" customHeight="1">
      <c r="A898" s="3"/>
      <c r="B898" s="3"/>
      <c r="C898" s="3"/>
      <c r="D898" s="3"/>
      <c r="E898" s="3"/>
      <c r="F898" s="3"/>
      <c r="N898" s="3"/>
    </row>
    <row r="899" ht="15.75" customHeight="1">
      <c r="A899" s="3"/>
      <c r="B899" s="3"/>
      <c r="C899" s="3"/>
      <c r="D899" s="3"/>
      <c r="E899" s="3"/>
      <c r="F899" s="3"/>
      <c r="N899" s="3"/>
    </row>
    <row r="900" ht="15.75" customHeight="1">
      <c r="A900" s="3"/>
      <c r="B900" s="3"/>
      <c r="C900" s="3"/>
      <c r="D900" s="3"/>
      <c r="E900" s="3"/>
      <c r="F900" s="3"/>
      <c r="N900" s="3"/>
    </row>
    <row r="901" ht="15.75" customHeight="1">
      <c r="A901" s="3"/>
      <c r="B901" s="3"/>
      <c r="C901" s="3"/>
      <c r="D901" s="3"/>
      <c r="E901" s="3"/>
      <c r="F901" s="3"/>
      <c r="N901" s="3"/>
    </row>
    <row r="902" ht="15.75" customHeight="1">
      <c r="A902" s="3"/>
      <c r="B902" s="3"/>
      <c r="C902" s="3"/>
      <c r="D902" s="3"/>
      <c r="E902" s="3"/>
      <c r="F902" s="3"/>
      <c r="N902" s="3"/>
    </row>
    <row r="903" ht="15.75" customHeight="1">
      <c r="A903" s="3"/>
      <c r="B903" s="3"/>
      <c r="C903" s="3"/>
      <c r="D903" s="3"/>
      <c r="E903" s="3"/>
      <c r="F903" s="3"/>
      <c r="N903" s="3"/>
    </row>
    <row r="904" ht="15.75" customHeight="1">
      <c r="A904" s="3"/>
      <c r="B904" s="3"/>
      <c r="C904" s="3"/>
      <c r="D904" s="3"/>
      <c r="E904" s="3"/>
      <c r="F904" s="3"/>
      <c r="N904" s="3"/>
    </row>
    <row r="905" ht="15.75" customHeight="1">
      <c r="A905" s="3"/>
      <c r="B905" s="3"/>
      <c r="C905" s="3"/>
      <c r="D905" s="3"/>
      <c r="E905" s="3"/>
      <c r="F905" s="3"/>
      <c r="N905" s="3"/>
    </row>
    <row r="906" ht="15.75" customHeight="1">
      <c r="A906" s="3"/>
      <c r="B906" s="3"/>
      <c r="C906" s="3"/>
      <c r="D906" s="3"/>
      <c r="E906" s="3"/>
      <c r="F906" s="3"/>
      <c r="N906" s="3"/>
    </row>
    <row r="907" ht="15.75" customHeight="1">
      <c r="A907" s="3"/>
      <c r="B907" s="3"/>
      <c r="C907" s="3"/>
      <c r="D907" s="3"/>
      <c r="E907" s="3"/>
      <c r="F907" s="3"/>
      <c r="N907" s="3"/>
    </row>
    <row r="908" ht="15.75" customHeight="1">
      <c r="A908" s="3"/>
      <c r="B908" s="3"/>
      <c r="C908" s="3"/>
      <c r="D908" s="3"/>
      <c r="E908" s="3"/>
      <c r="F908" s="3"/>
      <c r="N908" s="3"/>
    </row>
    <row r="909" ht="15.75" customHeight="1">
      <c r="A909" s="3"/>
      <c r="B909" s="3"/>
      <c r="C909" s="3"/>
      <c r="D909" s="3"/>
      <c r="E909" s="3"/>
      <c r="F909" s="3"/>
      <c r="N909" s="3"/>
    </row>
    <row r="910" ht="15.75" customHeight="1">
      <c r="A910" s="3"/>
      <c r="B910" s="3"/>
      <c r="C910" s="3"/>
      <c r="D910" s="3"/>
      <c r="E910" s="3"/>
      <c r="F910" s="3"/>
      <c r="N910" s="3"/>
    </row>
    <row r="911" ht="15.75" customHeight="1">
      <c r="A911" s="3"/>
      <c r="B911" s="3"/>
      <c r="C911" s="3"/>
      <c r="D911" s="3"/>
      <c r="E911" s="3"/>
      <c r="F911" s="3"/>
      <c r="N911" s="3"/>
    </row>
    <row r="912" ht="15.75" customHeight="1">
      <c r="A912" s="3"/>
      <c r="B912" s="3"/>
      <c r="C912" s="3"/>
      <c r="D912" s="3"/>
      <c r="E912" s="3"/>
      <c r="F912" s="3"/>
      <c r="N912" s="3"/>
    </row>
    <row r="913" ht="15.75" customHeight="1">
      <c r="A913" s="3"/>
      <c r="B913" s="3"/>
      <c r="C913" s="3"/>
      <c r="D913" s="3"/>
      <c r="E913" s="3"/>
      <c r="F913" s="3"/>
      <c r="N913" s="3"/>
    </row>
    <row r="914" ht="15.75" customHeight="1">
      <c r="A914" s="3"/>
      <c r="B914" s="3"/>
      <c r="C914" s="3"/>
      <c r="D914" s="3"/>
      <c r="E914" s="3"/>
      <c r="F914" s="3"/>
      <c r="N914" s="3"/>
    </row>
    <row r="915" ht="15.75" customHeight="1">
      <c r="A915" s="3"/>
      <c r="B915" s="3"/>
      <c r="C915" s="3"/>
      <c r="D915" s="3"/>
      <c r="E915" s="3"/>
      <c r="F915" s="3"/>
      <c r="N915" s="3"/>
    </row>
    <row r="916" ht="15.75" customHeight="1">
      <c r="A916" s="3"/>
      <c r="B916" s="3"/>
      <c r="C916" s="3"/>
      <c r="D916" s="3"/>
      <c r="E916" s="3"/>
      <c r="F916" s="3"/>
      <c r="N916" s="3"/>
    </row>
    <row r="917" ht="15.75" customHeight="1">
      <c r="A917" s="3"/>
      <c r="B917" s="3"/>
      <c r="C917" s="3"/>
      <c r="D917" s="3"/>
      <c r="E917" s="3"/>
      <c r="F917" s="3"/>
      <c r="N917" s="3"/>
    </row>
    <row r="918" ht="15.75" customHeight="1">
      <c r="A918" s="3"/>
      <c r="B918" s="3"/>
      <c r="C918" s="3"/>
      <c r="D918" s="3"/>
      <c r="E918" s="3"/>
      <c r="F918" s="3"/>
      <c r="N918" s="3"/>
    </row>
    <row r="919" ht="15.75" customHeight="1">
      <c r="A919" s="3"/>
      <c r="B919" s="3"/>
      <c r="C919" s="3"/>
      <c r="D919" s="3"/>
      <c r="E919" s="3"/>
      <c r="F919" s="3"/>
      <c r="N919" s="3"/>
    </row>
    <row r="920" ht="15.75" customHeight="1">
      <c r="A920" s="3"/>
      <c r="B920" s="3"/>
      <c r="C920" s="3"/>
      <c r="D920" s="3"/>
      <c r="E920" s="3"/>
      <c r="F920" s="3"/>
      <c r="N920" s="3"/>
    </row>
    <row r="921" ht="15.75" customHeight="1">
      <c r="A921" s="3"/>
      <c r="B921" s="3"/>
      <c r="C921" s="3"/>
      <c r="D921" s="3"/>
      <c r="E921" s="3"/>
      <c r="F921" s="3"/>
      <c r="N921" s="3"/>
    </row>
    <row r="922" ht="15.75" customHeight="1">
      <c r="A922" s="3"/>
      <c r="B922" s="3"/>
      <c r="C922" s="3"/>
      <c r="D922" s="3"/>
      <c r="E922" s="3"/>
      <c r="F922" s="3"/>
      <c r="N922" s="3"/>
    </row>
    <row r="923" ht="15.75" customHeight="1">
      <c r="A923" s="3"/>
      <c r="B923" s="3"/>
      <c r="C923" s="3"/>
      <c r="D923" s="3"/>
      <c r="E923" s="3"/>
      <c r="F923" s="3"/>
      <c r="N923" s="3"/>
    </row>
    <row r="924" ht="15.75" customHeight="1">
      <c r="A924" s="3"/>
      <c r="B924" s="3"/>
      <c r="C924" s="3"/>
      <c r="D924" s="3"/>
      <c r="E924" s="3"/>
      <c r="F924" s="3"/>
      <c r="N924" s="3"/>
    </row>
    <row r="925" ht="15.75" customHeight="1">
      <c r="A925" s="3"/>
      <c r="B925" s="3"/>
      <c r="C925" s="3"/>
      <c r="D925" s="3"/>
      <c r="E925" s="3"/>
      <c r="F925" s="3"/>
      <c r="N925" s="3"/>
    </row>
    <row r="926" ht="15.75" customHeight="1">
      <c r="A926" s="3"/>
      <c r="B926" s="3"/>
      <c r="C926" s="3"/>
      <c r="D926" s="3"/>
      <c r="E926" s="3"/>
      <c r="F926" s="3"/>
      <c r="N926" s="3"/>
    </row>
    <row r="927" ht="15.75" customHeight="1">
      <c r="A927" s="3"/>
      <c r="B927" s="3"/>
      <c r="C927" s="3"/>
      <c r="D927" s="3"/>
      <c r="E927" s="3"/>
      <c r="F927" s="3"/>
      <c r="N927" s="3"/>
    </row>
    <row r="928" ht="15.75" customHeight="1">
      <c r="A928" s="3"/>
      <c r="B928" s="3"/>
      <c r="C928" s="3"/>
      <c r="D928" s="3"/>
      <c r="E928" s="3"/>
      <c r="F928" s="3"/>
      <c r="N928" s="3"/>
    </row>
    <row r="929" ht="15.75" customHeight="1">
      <c r="A929" s="3"/>
      <c r="B929" s="3"/>
      <c r="C929" s="3"/>
      <c r="D929" s="3"/>
      <c r="E929" s="3"/>
      <c r="F929" s="3"/>
      <c r="N929" s="3"/>
    </row>
    <row r="930" ht="15.75" customHeight="1">
      <c r="A930" s="3"/>
      <c r="B930" s="3"/>
      <c r="C930" s="3"/>
      <c r="D930" s="3"/>
      <c r="E930" s="3"/>
      <c r="F930" s="3"/>
      <c r="N930" s="3"/>
    </row>
    <row r="931" ht="15.75" customHeight="1">
      <c r="A931" s="3"/>
      <c r="B931" s="3"/>
      <c r="C931" s="3"/>
      <c r="D931" s="3"/>
      <c r="E931" s="3"/>
      <c r="F931" s="3"/>
      <c r="N931" s="3"/>
    </row>
    <row r="932" ht="15.75" customHeight="1">
      <c r="A932" s="3"/>
      <c r="B932" s="3"/>
      <c r="C932" s="3"/>
      <c r="D932" s="3"/>
      <c r="E932" s="3"/>
      <c r="F932" s="3"/>
      <c r="N932" s="3"/>
    </row>
    <row r="933" ht="15.75" customHeight="1">
      <c r="A933" s="3"/>
      <c r="B933" s="3"/>
      <c r="C933" s="3"/>
      <c r="D933" s="3"/>
      <c r="E933" s="3"/>
      <c r="F933" s="3"/>
      <c r="N933" s="3"/>
    </row>
    <row r="934" ht="15.75" customHeight="1">
      <c r="A934" s="3"/>
      <c r="B934" s="3"/>
      <c r="C934" s="3"/>
      <c r="D934" s="3"/>
      <c r="E934" s="3"/>
      <c r="F934" s="3"/>
      <c r="N934" s="3"/>
    </row>
    <row r="935" ht="15.75" customHeight="1">
      <c r="A935" s="3"/>
      <c r="B935" s="3"/>
      <c r="C935" s="3"/>
      <c r="D935" s="3"/>
      <c r="E935" s="3"/>
      <c r="F935" s="3"/>
      <c r="N935" s="3"/>
    </row>
    <row r="936" ht="15.75" customHeight="1">
      <c r="A936" s="3"/>
      <c r="B936" s="3"/>
      <c r="C936" s="3"/>
      <c r="D936" s="3"/>
      <c r="E936" s="3"/>
      <c r="F936" s="3"/>
      <c r="N936" s="3"/>
    </row>
    <row r="937" ht="15.75" customHeight="1">
      <c r="A937" s="3"/>
      <c r="B937" s="3"/>
      <c r="C937" s="3"/>
      <c r="D937" s="3"/>
      <c r="E937" s="3"/>
      <c r="F937" s="3"/>
      <c r="N937" s="3"/>
    </row>
    <row r="938" ht="15.75" customHeight="1">
      <c r="A938" s="3"/>
      <c r="B938" s="3"/>
      <c r="C938" s="3"/>
      <c r="D938" s="3"/>
      <c r="E938" s="3"/>
      <c r="F938" s="3"/>
      <c r="N938" s="3"/>
    </row>
    <row r="939" ht="15.75" customHeight="1">
      <c r="A939" s="3"/>
      <c r="B939" s="3"/>
      <c r="C939" s="3"/>
      <c r="D939" s="3"/>
      <c r="E939" s="3"/>
      <c r="F939" s="3"/>
      <c r="N939" s="3"/>
    </row>
    <row r="940" ht="15.75" customHeight="1">
      <c r="A940" s="3"/>
      <c r="B940" s="3"/>
      <c r="C940" s="3"/>
      <c r="D940" s="3"/>
      <c r="E940" s="3"/>
      <c r="F940" s="3"/>
      <c r="N940" s="3"/>
    </row>
    <row r="941" ht="15.75" customHeight="1">
      <c r="A941" s="3"/>
      <c r="B941" s="3"/>
      <c r="C941" s="3"/>
      <c r="D941" s="3"/>
      <c r="E941" s="3"/>
      <c r="F941" s="3"/>
      <c r="N941" s="3"/>
    </row>
    <row r="942" ht="15.75" customHeight="1">
      <c r="A942" s="3"/>
      <c r="B942" s="3"/>
      <c r="C942" s="3"/>
      <c r="D942" s="3"/>
      <c r="E942" s="3"/>
      <c r="F942" s="3"/>
      <c r="N942" s="3"/>
    </row>
    <row r="943" ht="15.75" customHeight="1">
      <c r="A943" s="3"/>
      <c r="B943" s="3"/>
      <c r="C943" s="3"/>
      <c r="D943" s="3"/>
      <c r="E943" s="3"/>
      <c r="F943" s="3"/>
      <c r="N943" s="3"/>
    </row>
    <row r="944" ht="15.75" customHeight="1">
      <c r="A944" s="3"/>
      <c r="B944" s="3"/>
      <c r="C944" s="3"/>
      <c r="D944" s="3"/>
      <c r="E944" s="3"/>
      <c r="F944" s="3"/>
      <c r="N944" s="3"/>
    </row>
    <row r="945" ht="15.75" customHeight="1">
      <c r="A945" s="3"/>
      <c r="B945" s="3"/>
      <c r="C945" s="3"/>
      <c r="D945" s="3"/>
      <c r="E945" s="3"/>
      <c r="F945" s="3"/>
      <c r="N945" s="3"/>
    </row>
    <row r="946" ht="15.75" customHeight="1">
      <c r="A946" s="3"/>
      <c r="B946" s="3"/>
      <c r="C946" s="3"/>
      <c r="D946" s="3"/>
      <c r="E946" s="3"/>
      <c r="F946" s="3"/>
      <c r="N946" s="3"/>
    </row>
    <row r="947" ht="15.75" customHeight="1">
      <c r="A947" s="3"/>
      <c r="B947" s="3"/>
      <c r="C947" s="3"/>
      <c r="D947" s="3"/>
      <c r="E947" s="3"/>
      <c r="F947" s="3"/>
      <c r="N947" s="3"/>
    </row>
    <row r="948" ht="15.75" customHeight="1">
      <c r="A948" s="3"/>
      <c r="B948" s="3"/>
      <c r="C948" s="3"/>
      <c r="D948" s="3"/>
      <c r="E948" s="3"/>
      <c r="F948" s="3"/>
      <c r="N948" s="3"/>
    </row>
    <row r="949" ht="15.75" customHeight="1">
      <c r="A949" s="3"/>
      <c r="B949" s="3"/>
      <c r="C949" s="3"/>
      <c r="D949" s="3"/>
      <c r="E949" s="3"/>
      <c r="F949" s="3"/>
      <c r="N949" s="3"/>
    </row>
    <row r="950" ht="15.75" customHeight="1">
      <c r="A950" s="3"/>
      <c r="B950" s="3"/>
      <c r="C950" s="3"/>
      <c r="D950" s="3"/>
      <c r="E950" s="3"/>
      <c r="F950" s="3"/>
      <c r="N950" s="3"/>
    </row>
    <row r="951" ht="15.75" customHeight="1">
      <c r="A951" s="3"/>
      <c r="B951" s="3"/>
      <c r="C951" s="3"/>
      <c r="D951" s="3"/>
      <c r="E951" s="3"/>
      <c r="F951" s="3"/>
      <c r="N951" s="3"/>
    </row>
    <row r="952" ht="15.75" customHeight="1">
      <c r="A952" s="3"/>
      <c r="B952" s="3"/>
      <c r="C952" s="3"/>
      <c r="D952" s="3"/>
      <c r="E952" s="3"/>
      <c r="F952" s="3"/>
      <c r="N952" s="3"/>
    </row>
    <row r="953" ht="15.75" customHeight="1">
      <c r="A953" s="3"/>
      <c r="B953" s="3"/>
      <c r="C953" s="3"/>
      <c r="D953" s="3"/>
      <c r="E953" s="3"/>
      <c r="F953" s="3"/>
      <c r="N953" s="3"/>
    </row>
    <row r="954" ht="15.75" customHeight="1">
      <c r="A954" s="3"/>
      <c r="B954" s="3"/>
      <c r="C954" s="3"/>
      <c r="D954" s="3"/>
      <c r="E954" s="3"/>
      <c r="F954" s="3"/>
      <c r="N954" s="3"/>
    </row>
    <row r="955" ht="15.75" customHeight="1">
      <c r="A955" s="3"/>
      <c r="B955" s="3"/>
      <c r="C955" s="3"/>
      <c r="D955" s="3"/>
      <c r="E955" s="3"/>
      <c r="F955" s="3"/>
      <c r="N955" s="3"/>
    </row>
    <row r="956" ht="15.75" customHeight="1">
      <c r="A956" s="3"/>
      <c r="B956" s="3"/>
      <c r="C956" s="3"/>
      <c r="D956" s="3"/>
      <c r="E956" s="3"/>
      <c r="F956" s="3"/>
      <c r="N956" s="3"/>
    </row>
    <row r="957" ht="15.75" customHeight="1">
      <c r="A957" s="3"/>
      <c r="B957" s="3"/>
      <c r="C957" s="3"/>
      <c r="D957" s="3"/>
      <c r="E957" s="3"/>
      <c r="F957" s="3"/>
      <c r="N957" s="3"/>
    </row>
    <row r="958" ht="15.75" customHeight="1">
      <c r="A958" s="3"/>
      <c r="B958" s="3"/>
      <c r="C958" s="3"/>
      <c r="D958" s="3"/>
      <c r="E958" s="3"/>
      <c r="F958" s="3"/>
      <c r="N958" s="3"/>
    </row>
    <row r="959" ht="15.75" customHeight="1">
      <c r="A959" s="3"/>
      <c r="B959" s="3"/>
      <c r="C959" s="3"/>
      <c r="D959" s="3"/>
      <c r="E959" s="3"/>
      <c r="F959" s="3"/>
      <c r="N959" s="3"/>
    </row>
    <row r="960" ht="15.75" customHeight="1">
      <c r="A960" s="3"/>
      <c r="B960" s="3"/>
      <c r="C960" s="3"/>
      <c r="D960" s="3"/>
      <c r="E960" s="3"/>
      <c r="F960" s="3"/>
      <c r="N960" s="3"/>
    </row>
    <row r="961" ht="15.75" customHeight="1">
      <c r="A961" s="3"/>
      <c r="B961" s="3"/>
      <c r="C961" s="3"/>
      <c r="D961" s="3"/>
      <c r="E961" s="3"/>
      <c r="F961" s="3"/>
      <c r="N961" s="3"/>
    </row>
    <row r="962" ht="15.75" customHeight="1">
      <c r="A962" s="3"/>
      <c r="B962" s="3"/>
      <c r="C962" s="3"/>
      <c r="D962" s="3"/>
      <c r="E962" s="3"/>
      <c r="F962" s="3"/>
      <c r="N962" s="3"/>
    </row>
    <row r="963" ht="15.75" customHeight="1">
      <c r="A963" s="3"/>
      <c r="B963" s="3"/>
      <c r="C963" s="3"/>
      <c r="D963" s="3"/>
      <c r="E963" s="3"/>
      <c r="F963" s="3"/>
      <c r="N963" s="3"/>
    </row>
    <row r="964" ht="15.75" customHeight="1">
      <c r="A964" s="3"/>
      <c r="B964" s="3"/>
      <c r="C964" s="3"/>
      <c r="D964" s="3"/>
      <c r="E964" s="3"/>
      <c r="F964" s="3"/>
      <c r="N964" s="3"/>
    </row>
    <row r="965" ht="15.75" customHeight="1">
      <c r="A965" s="3"/>
      <c r="B965" s="3"/>
      <c r="C965" s="3"/>
      <c r="D965" s="3"/>
      <c r="E965" s="3"/>
      <c r="F965" s="3"/>
      <c r="N965" s="3"/>
    </row>
    <row r="966" ht="15.75" customHeight="1">
      <c r="A966" s="3"/>
      <c r="B966" s="3"/>
      <c r="C966" s="3"/>
      <c r="D966" s="3"/>
      <c r="E966" s="3"/>
      <c r="F966" s="3"/>
      <c r="N966" s="3"/>
    </row>
    <row r="967" ht="15.75" customHeight="1">
      <c r="A967" s="3"/>
      <c r="B967" s="3"/>
      <c r="C967" s="3"/>
      <c r="D967" s="3"/>
      <c r="E967" s="3"/>
      <c r="F967" s="3"/>
      <c r="N967" s="3"/>
    </row>
    <row r="968" ht="15.75" customHeight="1">
      <c r="A968" s="3"/>
      <c r="B968" s="3"/>
      <c r="C968" s="3"/>
      <c r="D968" s="3"/>
      <c r="E968" s="3"/>
      <c r="F968" s="3"/>
      <c r="N968" s="3"/>
    </row>
    <row r="969" ht="15.75" customHeight="1">
      <c r="A969" s="3"/>
      <c r="B969" s="3"/>
      <c r="C969" s="3"/>
      <c r="D969" s="3"/>
      <c r="E969" s="3"/>
      <c r="F969" s="3"/>
      <c r="N969" s="3"/>
    </row>
    <row r="970" ht="15.75" customHeight="1">
      <c r="A970" s="3"/>
      <c r="B970" s="3"/>
      <c r="C970" s="3"/>
      <c r="D970" s="3"/>
      <c r="E970" s="3"/>
      <c r="F970" s="3"/>
      <c r="N970" s="3"/>
    </row>
    <row r="971" ht="15.75" customHeight="1">
      <c r="A971" s="3"/>
      <c r="B971" s="3"/>
      <c r="C971" s="3"/>
      <c r="D971" s="3"/>
      <c r="E971" s="3"/>
      <c r="F971" s="3"/>
      <c r="N971" s="3"/>
    </row>
    <row r="972" ht="15.75" customHeight="1">
      <c r="A972" s="3"/>
      <c r="B972" s="3"/>
      <c r="C972" s="3"/>
      <c r="D972" s="3"/>
      <c r="E972" s="3"/>
      <c r="F972" s="3"/>
      <c r="N972" s="3"/>
    </row>
    <row r="973" ht="15.75" customHeight="1">
      <c r="A973" s="3"/>
      <c r="B973" s="3"/>
      <c r="C973" s="3"/>
      <c r="D973" s="3"/>
      <c r="E973" s="3"/>
      <c r="F973" s="3"/>
      <c r="N973" s="3"/>
    </row>
    <row r="974" ht="15.75" customHeight="1">
      <c r="A974" s="3"/>
      <c r="B974" s="3"/>
      <c r="C974" s="3"/>
      <c r="D974" s="3"/>
      <c r="E974" s="3"/>
      <c r="F974" s="3"/>
      <c r="N974" s="3"/>
    </row>
    <row r="975" ht="15.75" customHeight="1">
      <c r="A975" s="3"/>
      <c r="B975" s="3"/>
      <c r="C975" s="3"/>
      <c r="D975" s="3"/>
      <c r="E975" s="3"/>
      <c r="F975" s="3"/>
      <c r="N975" s="3"/>
    </row>
    <row r="976" ht="15.75" customHeight="1">
      <c r="A976" s="3"/>
      <c r="B976" s="3"/>
      <c r="C976" s="3"/>
      <c r="D976" s="3"/>
      <c r="E976" s="3"/>
      <c r="F976" s="3"/>
      <c r="N976" s="3"/>
    </row>
    <row r="977" ht="15.75" customHeight="1">
      <c r="A977" s="3"/>
      <c r="B977" s="3"/>
      <c r="C977" s="3"/>
      <c r="D977" s="3"/>
      <c r="E977" s="3"/>
      <c r="F977" s="3"/>
      <c r="N977" s="3"/>
    </row>
    <row r="978" ht="15.75" customHeight="1">
      <c r="A978" s="3"/>
      <c r="B978" s="3"/>
      <c r="C978" s="3"/>
      <c r="D978" s="3"/>
      <c r="E978" s="3"/>
      <c r="F978" s="3"/>
      <c r="N978" s="3"/>
    </row>
    <row r="979" ht="15.75" customHeight="1">
      <c r="A979" s="3"/>
      <c r="B979" s="3"/>
      <c r="C979" s="3"/>
      <c r="D979" s="3"/>
      <c r="E979" s="3"/>
      <c r="F979" s="3"/>
      <c r="N979" s="3"/>
    </row>
    <row r="980" ht="15.75" customHeight="1">
      <c r="A980" s="3"/>
      <c r="B980" s="3"/>
      <c r="C980" s="3"/>
      <c r="D980" s="3"/>
      <c r="E980" s="3"/>
      <c r="F980" s="3"/>
      <c r="N980" s="3"/>
    </row>
    <row r="981" ht="15.75" customHeight="1">
      <c r="A981" s="3"/>
      <c r="B981" s="3"/>
      <c r="C981" s="3"/>
      <c r="D981" s="3"/>
      <c r="E981" s="3"/>
      <c r="F981" s="3"/>
      <c r="N981" s="3"/>
    </row>
    <row r="982" ht="15.75" customHeight="1">
      <c r="A982" s="3"/>
      <c r="B982" s="3"/>
      <c r="C982" s="3"/>
      <c r="D982" s="3"/>
      <c r="E982" s="3"/>
      <c r="F982" s="3"/>
      <c r="N982" s="3"/>
    </row>
    <row r="983" ht="15.75" customHeight="1">
      <c r="A983" s="3"/>
      <c r="B983" s="3"/>
      <c r="C983" s="3"/>
      <c r="D983" s="3"/>
      <c r="E983" s="3"/>
      <c r="F983" s="3"/>
      <c r="N983" s="3"/>
    </row>
    <row r="984" ht="15.75" customHeight="1">
      <c r="A984" s="3"/>
      <c r="B984" s="3"/>
      <c r="C984" s="3"/>
      <c r="D984" s="3"/>
      <c r="E984" s="3"/>
      <c r="F984" s="3"/>
      <c r="N984" s="3"/>
    </row>
    <row r="985" ht="15.75" customHeight="1">
      <c r="A985" s="3"/>
      <c r="B985" s="3"/>
      <c r="C985" s="3"/>
      <c r="D985" s="3"/>
      <c r="E985" s="3"/>
      <c r="F985" s="3"/>
      <c r="N985" s="3"/>
    </row>
    <row r="986" ht="15.75" customHeight="1">
      <c r="A986" s="3"/>
      <c r="B986" s="3"/>
      <c r="C986" s="3"/>
      <c r="D986" s="3"/>
      <c r="E986" s="3"/>
      <c r="F986" s="3"/>
      <c r="N986" s="3"/>
    </row>
    <row r="987" ht="15.75" customHeight="1">
      <c r="A987" s="3"/>
      <c r="B987" s="3"/>
      <c r="C987" s="3"/>
      <c r="D987" s="3"/>
      <c r="E987" s="3"/>
      <c r="F987" s="3"/>
      <c r="N987" s="3"/>
    </row>
    <row r="988" ht="15.75" customHeight="1">
      <c r="A988" s="3"/>
      <c r="B988" s="3"/>
      <c r="C988" s="3"/>
      <c r="D988" s="3"/>
      <c r="E988" s="3"/>
      <c r="F988" s="3"/>
      <c r="N988" s="3"/>
    </row>
    <row r="989" ht="15.75" customHeight="1">
      <c r="A989" s="3"/>
      <c r="B989" s="3"/>
      <c r="C989" s="3"/>
      <c r="D989" s="3"/>
      <c r="E989" s="3"/>
      <c r="F989" s="3"/>
      <c r="N989" s="3"/>
    </row>
    <row r="990" ht="15.75" customHeight="1">
      <c r="A990" s="3"/>
      <c r="B990" s="3"/>
      <c r="C990" s="3"/>
      <c r="D990" s="3"/>
      <c r="E990" s="3"/>
      <c r="F990" s="3"/>
      <c r="N990" s="3"/>
    </row>
    <row r="991" ht="15.75" customHeight="1">
      <c r="A991" s="3"/>
      <c r="B991" s="3"/>
      <c r="C991" s="3"/>
      <c r="D991" s="3"/>
      <c r="E991" s="3"/>
      <c r="F991" s="3"/>
      <c r="N991" s="3"/>
    </row>
    <row r="992" ht="15.75" customHeight="1">
      <c r="A992" s="3"/>
      <c r="B992" s="3"/>
      <c r="C992" s="3"/>
      <c r="D992" s="3"/>
      <c r="E992" s="3"/>
      <c r="F992" s="3"/>
      <c r="N992" s="3"/>
    </row>
    <row r="993" ht="15.75" customHeight="1">
      <c r="A993" s="3"/>
      <c r="B993" s="3"/>
      <c r="C993" s="3"/>
      <c r="D993" s="3"/>
      <c r="E993" s="3"/>
      <c r="F993" s="3"/>
      <c r="N993" s="3"/>
    </row>
    <row r="994" ht="15.75" customHeight="1">
      <c r="A994" s="3"/>
      <c r="B994" s="3"/>
      <c r="C994" s="3"/>
      <c r="D994" s="3"/>
      <c r="E994" s="3"/>
      <c r="F994" s="3"/>
      <c r="N994" s="3"/>
    </row>
    <row r="995" ht="15.75" customHeight="1">
      <c r="A995" s="3"/>
      <c r="B995" s="3"/>
      <c r="C995" s="3"/>
      <c r="D995" s="3"/>
      <c r="E995" s="3"/>
      <c r="F995" s="3"/>
      <c r="N995" s="3"/>
    </row>
    <row r="996" ht="15.75" customHeight="1">
      <c r="A996" s="3"/>
      <c r="B996" s="3"/>
      <c r="C996" s="3"/>
      <c r="D996" s="3"/>
      <c r="E996" s="3"/>
      <c r="F996" s="3"/>
      <c r="N996" s="3"/>
    </row>
    <row r="997" ht="15.75" customHeight="1">
      <c r="A997" s="3"/>
      <c r="B997" s="3"/>
      <c r="C997" s="3"/>
      <c r="D997" s="3"/>
      <c r="E997" s="3"/>
      <c r="F997" s="3"/>
      <c r="N997" s="3"/>
    </row>
    <row r="998" ht="15.75" customHeight="1">
      <c r="A998" s="3"/>
      <c r="B998" s="3"/>
      <c r="C998" s="3"/>
      <c r="D998" s="3"/>
      <c r="E998" s="3"/>
      <c r="F998" s="3"/>
      <c r="N998" s="3"/>
    </row>
    <row r="999" ht="15.75" customHeight="1">
      <c r="A999" s="3"/>
      <c r="B999" s="3"/>
      <c r="C999" s="3"/>
      <c r="D999" s="3"/>
      <c r="E999" s="3"/>
      <c r="F999" s="3"/>
      <c r="N999" s="3"/>
    </row>
    <row r="1000" ht="15.75" customHeight="1">
      <c r="A1000" s="3"/>
      <c r="B1000" s="3"/>
      <c r="C1000" s="3"/>
      <c r="D1000" s="3"/>
      <c r="E1000" s="3"/>
      <c r="F1000" s="3"/>
      <c r="N1000" s="3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6B53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6.38"/>
    <col customWidth="1" min="2" max="6" width="12.63"/>
  </cols>
  <sheetData>
    <row r="1" ht="15.75" customHeight="1">
      <c r="A1" s="69" t="s">
        <v>80</v>
      </c>
      <c r="B1" s="179" t="s">
        <v>57</v>
      </c>
      <c r="C1" s="179" t="s">
        <v>59</v>
      </c>
      <c r="D1" s="179" t="s">
        <v>61</v>
      </c>
      <c r="E1" s="179" t="s">
        <v>63</v>
      </c>
      <c r="F1" s="179" t="s">
        <v>65</v>
      </c>
      <c r="G1" s="179" t="s">
        <v>67</v>
      </c>
      <c r="H1" s="179" t="s">
        <v>69</v>
      </c>
      <c r="I1" s="179" t="s">
        <v>71</v>
      </c>
      <c r="J1" s="179" t="s">
        <v>73</v>
      </c>
      <c r="K1" s="179" t="s">
        <v>75</v>
      </c>
      <c r="L1" s="179" t="s">
        <v>77</v>
      </c>
      <c r="M1" s="179" t="s">
        <v>79</v>
      </c>
      <c r="N1" s="179" t="s">
        <v>377</v>
      </c>
      <c r="O1" s="69"/>
      <c r="P1" s="69"/>
      <c r="Q1" s="69"/>
      <c r="R1" s="69"/>
      <c r="S1" s="69"/>
      <c r="T1" s="69"/>
      <c r="U1" s="69"/>
      <c r="V1" s="69"/>
      <c r="W1" s="69"/>
      <c r="X1" s="69"/>
    </row>
    <row r="2" ht="15.75" customHeight="1">
      <c r="A2" s="102" t="s">
        <v>378</v>
      </c>
      <c r="B2" s="115"/>
      <c r="C2" s="115"/>
      <c r="D2" s="115"/>
      <c r="E2" s="115"/>
      <c r="F2" s="115"/>
      <c r="G2" s="77"/>
      <c r="H2" s="77"/>
      <c r="I2" s="77"/>
      <c r="J2" s="77"/>
      <c r="K2" s="77"/>
      <c r="L2" s="77"/>
      <c r="M2" s="77"/>
      <c r="N2" s="77"/>
    </row>
    <row r="3" ht="15.75" customHeight="1">
      <c r="A3" s="72" t="s">
        <v>209</v>
      </c>
      <c r="B3" s="159">
        <f>'3. Assumptions and Drivers'!K29</f>
        <v>26987.49</v>
      </c>
      <c r="C3" s="159">
        <f t="shared" ref="C3:M3" si="1">B6</f>
        <v>41412.6985</v>
      </c>
      <c r="D3" s="159">
        <f t="shared" si="1"/>
        <v>48643.56176</v>
      </c>
      <c r="E3" s="159">
        <f t="shared" si="1"/>
        <v>47874.42502</v>
      </c>
      <c r="F3" s="159">
        <f t="shared" si="1"/>
        <v>47105.28829</v>
      </c>
      <c r="G3" s="159">
        <f t="shared" si="1"/>
        <v>46336.15155</v>
      </c>
      <c r="H3" s="159">
        <f t="shared" si="1"/>
        <v>45567.01481</v>
      </c>
      <c r="I3" s="159">
        <f t="shared" si="1"/>
        <v>52603.53283</v>
      </c>
      <c r="J3" s="159">
        <f t="shared" si="1"/>
        <v>51640.05086</v>
      </c>
      <c r="K3" s="159">
        <f t="shared" si="1"/>
        <v>50676.56888</v>
      </c>
      <c r="L3" s="159">
        <f t="shared" si="1"/>
        <v>49713.0869</v>
      </c>
      <c r="M3" s="159">
        <f t="shared" si="1"/>
        <v>48749.60493</v>
      </c>
      <c r="N3" s="77"/>
    </row>
    <row r="4" ht="15.75" customHeight="1">
      <c r="A4" s="3" t="s">
        <v>379</v>
      </c>
      <c r="B4" s="159">
        <f>'6. OpEx and CapEx'!B29</f>
        <v>15000</v>
      </c>
      <c r="C4" s="159">
        <f>'6. OpEx and CapEx'!C29</f>
        <v>8000</v>
      </c>
      <c r="D4" s="159">
        <f>'6. OpEx and CapEx'!D29</f>
        <v>0</v>
      </c>
      <c r="E4" s="159">
        <f>'6. OpEx and CapEx'!E29</f>
        <v>0</v>
      </c>
      <c r="F4" s="159">
        <f>'6. OpEx and CapEx'!F29</f>
        <v>0</v>
      </c>
      <c r="G4" s="159">
        <f>'6. OpEx and CapEx'!G29</f>
        <v>0</v>
      </c>
      <c r="H4" s="159">
        <f>'6. OpEx and CapEx'!H29</f>
        <v>8000</v>
      </c>
      <c r="I4" s="159">
        <f>'6. OpEx and CapEx'!I29</f>
        <v>0</v>
      </c>
      <c r="J4" s="159">
        <f>'6. OpEx and CapEx'!J29</f>
        <v>0</v>
      </c>
      <c r="K4" s="159">
        <f>'6. OpEx and CapEx'!K29</f>
        <v>0</v>
      </c>
      <c r="L4" s="159">
        <f>'6. OpEx and CapEx'!L29</f>
        <v>0</v>
      </c>
      <c r="M4" s="159">
        <f>'6. OpEx and CapEx'!M29</f>
        <v>0</v>
      </c>
      <c r="N4" s="77">
        <f t="shared" ref="N4:N5" si="2">SUM(B4:M4)</f>
        <v>31000</v>
      </c>
    </row>
    <row r="5" ht="15.75" customHeight="1">
      <c r="A5" s="3" t="s">
        <v>380</v>
      </c>
      <c r="B5" s="159">
        <f>(B3/60)+(SUM('6. OpEx and CapEx'!$B$24:B24)/84)+(SUM('6. OpEx and CapEx'!$B$25:B25)/12)+(SUM('6. OpEx and CapEx'!$B$26:B26)/48)+(SUM('6. OpEx and CapEx'!$B$27:B27)/48)+(SUM('6. OpEx and CapEx'!$B$28:B28)/120)</f>
        <v>574.7915</v>
      </c>
      <c r="C5" s="159">
        <f>('3. Assumptions and Drivers'!$K$29/60)+(SUM('6. OpEx and CapEx'!$B$24:C24)/84)+(SUM('6. OpEx and CapEx'!$B$25:C25)/12)+(SUM('6. OpEx and CapEx'!$B$26:C26)/48)+(SUM('6. OpEx and CapEx'!$B$27:C27)/48)+(SUM('6. OpEx and CapEx'!$B$28:C28)/120)</f>
        <v>769.1367381</v>
      </c>
      <c r="D5" s="159">
        <f>('3. Assumptions and Drivers'!$K$29/60)+(SUM('6. OpEx and CapEx'!$B$24:D24)/84)+(SUM('6. OpEx and CapEx'!$B$25:D25)/12)+(SUM('6. OpEx and CapEx'!$B$26:D26)/48)+(SUM('6. OpEx and CapEx'!$B$27:D27)/48)+(SUM('6. OpEx and CapEx'!$B$28:D28)/120)</f>
        <v>769.1367381</v>
      </c>
      <c r="E5" s="159">
        <f>('3. Assumptions and Drivers'!$K$29/60)+(SUM('6. OpEx and CapEx'!$B$24:E24)/84)+(SUM('6. OpEx and CapEx'!$B$25:E25)/12)+(SUM('6. OpEx and CapEx'!$B$26:E26)/48)+(SUM('6. OpEx and CapEx'!$B$27:E27)/48)+(SUM('6. OpEx and CapEx'!$B$28:E28)/120)</f>
        <v>769.1367381</v>
      </c>
      <c r="F5" s="159">
        <f>('3. Assumptions and Drivers'!$K$29/60)+(SUM('6. OpEx and CapEx'!$B$24:F24)/84)+(SUM('6. OpEx and CapEx'!$B$25:F25)/12)+(SUM('6. OpEx and CapEx'!$B$26:F26)/48)+(SUM('6. OpEx and CapEx'!$B$27:F27)/48)+(SUM('6. OpEx and CapEx'!$B$28:F28)/120)</f>
        <v>769.1367381</v>
      </c>
      <c r="G5" s="159">
        <f>('3. Assumptions and Drivers'!$K$29/60)+(SUM('6. OpEx and CapEx'!$B$24:G24)/84)+(SUM('6. OpEx and CapEx'!$B$25:G25)/12)+(SUM('6. OpEx and CapEx'!$B$26:G26)/48)+(SUM('6. OpEx and CapEx'!$B$27:G27)/48)+(SUM('6. OpEx and CapEx'!$B$28:G28)/120)</f>
        <v>769.1367381</v>
      </c>
      <c r="H5" s="159">
        <f>('3. Assumptions and Drivers'!$K$29/60)+(SUM('6. OpEx and CapEx'!$B$24:H24)/84)+(SUM('6. OpEx and CapEx'!$B$25:H25)/12)+(SUM('6. OpEx and CapEx'!$B$26:H26)/48)+(SUM('6. OpEx and CapEx'!$B$27:H27)/48)+(SUM('6. OpEx and CapEx'!$B$28:H28)/120)</f>
        <v>963.4819762</v>
      </c>
      <c r="I5" s="159">
        <f>('3. Assumptions and Drivers'!$K$29/60)+(SUM('6. OpEx and CapEx'!$B$24:I24)/84)+(SUM('6. OpEx and CapEx'!$B$25:I25)/12)+(SUM('6. OpEx and CapEx'!$B$26:I26)/48)+(SUM('6. OpEx and CapEx'!$B$27:I27)/48)+(SUM('6. OpEx and CapEx'!$B$28:I28)/120)</f>
        <v>963.4819762</v>
      </c>
      <c r="J5" s="159">
        <f>('3. Assumptions and Drivers'!$K$29/60)+(SUM('6. OpEx and CapEx'!$B$24:J24)/84)+(SUM('6. OpEx and CapEx'!$B$25:J25)/12)+(SUM('6. OpEx and CapEx'!$B$26:J26)/48)+(SUM('6. OpEx and CapEx'!$B$27:J27)/48)+(SUM('6. OpEx and CapEx'!$B$28:J28)/120)</f>
        <v>963.4819762</v>
      </c>
      <c r="K5" s="159">
        <f>('3. Assumptions and Drivers'!$K$29/60)+(SUM('6. OpEx and CapEx'!$B$24:K24)/84)+(SUM('6. OpEx and CapEx'!$B$25:K25)/12)+(SUM('6. OpEx and CapEx'!$B$26:K26)/48)+(SUM('6. OpEx and CapEx'!$B$27:K27)/48)+(SUM('6. OpEx and CapEx'!$B$28:K28)/120)</f>
        <v>963.4819762</v>
      </c>
      <c r="L5" s="159">
        <f>('3. Assumptions and Drivers'!$K$29/60)+(SUM('6. OpEx and CapEx'!$B$24:L24)/84)+(SUM('6. OpEx and CapEx'!$B$25:L25)/12)+(SUM('6. OpEx and CapEx'!$B$26:L26)/48)+(SUM('6. OpEx and CapEx'!$B$27:L27)/48)+(SUM('6. OpEx and CapEx'!$B$28:L28)/120)</f>
        <v>963.4819762</v>
      </c>
      <c r="M5" s="159">
        <f>('3. Assumptions and Drivers'!$K$29/60)+(SUM('6. OpEx and CapEx'!$B$24:M24)/84)+(SUM('6. OpEx and CapEx'!$B$25:M25)/12)+(SUM('6. OpEx and CapEx'!$B$26:M26)/48)+(SUM('6. OpEx and CapEx'!$B$27:M27)/48)+(SUM('6. OpEx and CapEx'!$B$28:M28)/120)</f>
        <v>963.4819762</v>
      </c>
      <c r="N5" s="77">
        <f t="shared" si="2"/>
        <v>10201.36705</v>
      </c>
    </row>
    <row r="6" ht="15.75" customHeight="1">
      <c r="A6" s="3" t="s">
        <v>381</v>
      </c>
      <c r="B6" s="159">
        <f t="shared" ref="B6:M6" si="3">B3+B4-B5</f>
        <v>41412.6985</v>
      </c>
      <c r="C6" s="159">
        <f t="shared" si="3"/>
        <v>48643.56176</v>
      </c>
      <c r="D6" s="159">
        <f t="shared" si="3"/>
        <v>47874.42502</v>
      </c>
      <c r="E6" s="159">
        <f t="shared" si="3"/>
        <v>47105.28829</v>
      </c>
      <c r="F6" s="159">
        <f t="shared" si="3"/>
        <v>46336.15155</v>
      </c>
      <c r="G6" s="159">
        <f t="shared" si="3"/>
        <v>45567.01481</v>
      </c>
      <c r="H6" s="159">
        <f t="shared" si="3"/>
        <v>52603.53283</v>
      </c>
      <c r="I6" s="159">
        <f t="shared" si="3"/>
        <v>51640.05086</v>
      </c>
      <c r="J6" s="159">
        <f t="shared" si="3"/>
        <v>50676.56888</v>
      </c>
      <c r="K6" s="159">
        <f t="shared" si="3"/>
        <v>49713.0869</v>
      </c>
      <c r="L6" s="159">
        <f t="shared" si="3"/>
        <v>48749.60493</v>
      </c>
      <c r="M6" s="159">
        <f t="shared" si="3"/>
        <v>47786.12295</v>
      </c>
      <c r="N6" s="77">
        <f>M6</f>
        <v>47786.12295</v>
      </c>
    </row>
    <row r="7" ht="15.75" customHeight="1">
      <c r="A7" s="3"/>
      <c r="B7" s="115"/>
      <c r="C7" s="115"/>
      <c r="D7" s="115"/>
      <c r="E7" s="115"/>
      <c r="F7" s="115"/>
      <c r="G7" s="77"/>
      <c r="H7" s="77"/>
      <c r="I7" s="77"/>
      <c r="J7" s="77"/>
      <c r="K7" s="77"/>
      <c r="L7" s="77"/>
      <c r="M7" s="77"/>
      <c r="N7" s="77"/>
    </row>
    <row r="8" ht="15.75" customHeight="1">
      <c r="A8" s="102" t="s">
        <v>382</v>
      </c>
      <c r="B8" s="115"/>
      <c r="C8" s="115"/>
      <c r="D8" s="115"/>
      <c r="E8" s="115"/>
      <c r="F8" s="115"/>
      <c r="G8" s="77"/>
      <c r="H8" s="77"/>
      <c r="I8" s="77"/>
      <c r="J8" s="77"/>
      <c r="K8" s="77"/>
      <c r="L8" s="77"/>
      <c r="M8" s="77"/>
      <c r="N8" s="77"/>
    </row>
    <row r="9" ht="15.75" customHeight="1">
      <c r="A9" s="3" t="s">
        <v>383</v>
      </c>
      <c r="B9" s="159">
        <f>'3. Assumptions and Drivers'!K34</f>
        <v>118535.9588</v>
      </c>
      <c r="C9" s="159">
        <f t="shared" ref="C9:M9" si="4">B12</f>
        <v>117574.5524</v>
      </c>
      <c r="D9" s="159">
        <f t="shared" si="4"/>
        <v>116604.7336</v>
      </c>
      <c r="E9" s="159">
        <f t="shared" si="4"/>
        <v>115626.429</v>
      </c>
      <c r="F9" s="159">
        <f t="shared" si="4"/>
        <v>114639.5642</v>
      </c>
      <c r="G9" s="159">
        <f t="shared" si="4"/>
        <v>113644.0643</v>
      </c>
      <c r="H9" s="159">
        <f t="shared" si="4"/>
        <v>112639.8538</v>
      </c>
      <c r="I9" s="159">
        <f t="shared" si="4"/>
        <v>111626.8565</v>
      </c>
      <c r="J9" s="159">
        <f t="shared" si="4"/>
        <v>110604.9954</v>
      </c>
      <c r="K9" s="159">
        <f t="shared" si="4"/>
        <v>109574.1931</v>
      </c>
      <c r="L9" s="159">
        <f t="shared" si="4"/>
        <v>108534.3712</v>
      </c>
      <c r="M9" s="159">
        <f t="shared" si="4"/>
        <v>107485.4509</v>
      </c>
      <c r="N9" s="77"/>
    </row>
    <row r="10" ht="15.75" customHeight="1">
      <c r="A10" s="3" t="s">
        <v>384</v>
      </c>
      <c r="B10" s="159">
        <v>0.0</v>
      </c>
      <c r="C10" s="159">
        <v>0.0</v>
      </c>
      <c r="D10" s="159">
        <v>0.0</v>
      </c>
      <c r="E10" s="159">
        <v>0.0</v>
      </c>
      <c r="F10" s="159">
        <v>0.0</v>
      </c>
      <c r="G10" s="159">
        <v>0.0</v>
      </c>
      <c r="H10" s="159">
        <v>0.0</v>
      </c>
      <c r="I10" s="159">
        <v>0.0</v>
      </c>
      <c r="J10" s="159">
        <v>0.0</v>
      </c>
      <c r="K10" s="159">
        <v>0.0</v>
      </c>
      <c r="L10" s="159">
        <v>0.0</v>
      </c>
      <c r="M10" s="159">
        <v>0.0</v>
      </c>
      <c r="N10" s="115">
        <f t="shared" ref="N10:N11" si="5">SUM(B10:M10)</f>
        <v>0</v>
      </c>
    </row>
    <row r="11" ht="15.75" customHeight="1">
      <c r="A11" s="3" t="s">
        <v>385</v>
      </c>
      <c r="B11" s="159">
        <f>-PMT('3. Assumptions and Drivers'!$K$35/12,'3. Assumptions and Drivers'!$K$36,'3. Assumptions and Drivers'!$K$34)-B14</f>
        <v>961.406418</v>
      </c>
      <c r="C11" s="159">
        <f>-PMT('3. Assumptions and Drivers'!$K$35/12,'3. Assumptions and Drivers'!$K$36,'3. Assumptions and Drivers'!$K$34)-C14</f>
        <v>969.8187242</v>
      </c>
      <c r="D11" s="159">
        <f>-PMT('3. Assumptions and Drivers'!$K$35/12,'3. Assumptions and Drivers'!$K$36,'3. Assumptions and Drivers'!$K$34)-D14</f>
        <v>978.304638</v>
      </c>
      <c r="E11" s="159">
        <f>-PMT('3. Assumptions and Drivers'!$K$35/12,'3. Assumptions and Drivers'!$K$36,'3. Assumptions and Drivers'!$K$34)-E14</f>
        <v>986.8648036</v>
      </c>
      <c r="F11" s="159">
        <f>-PMT('3. Assumptions and Drivers'!$K$35/12,'3. Assumptions and Drivers'!$K$36,'3. Assumptions and Drivers'!$K$34)-F14</f>
        <v>995.4998706</v>
      </c>
      <c r="G11" s="159">
        <f>-PMT('3. Assumptions and Drivers'!$K$35/12,'3. Assumptions and Drivers'!$K$36,'3. Assumptions and Drivers'!$K$34)-G14</f>
        <v>1004.210494</v>
      </c>
      <c r="H11" s="159">
        <f>-PMT('3. Assumptions and Drivers'!$K$35/12,'3. Assumptions and Drivers'!$K$36,'3. Assumptions and Drivers'!$K$34)-H14</f>
        <v>1012.997336</v>
      </c>
      <c r="I11" s="159">
        <f>-PMT('3. Assumptions and Drivers'!$K$35/12,'3. Assumptions and Drivers'!$K$36,'3. Assumptions and Drivers'!$K$34)-I14</f>
        <v>1021.861063</v>
      </c>
      <c r="J11" s="159">
        <f>-PMT('3. Assumptions and Drivers'!$K$35/12,'3. Assumptions and Drivers'!$K$36,'3. Assumptions and Drivers'!$K$34)-J14</f>
        <v>1030.802347</v>
      </c>
      <c r="K11" s="159">
        <f>-PMT('3. Assumptions and Drivers'!$K$35/12,'3. Assumptions and Drivers'!$K$36,'3. Assumptions and Drivers'!$K$34)-K14</f>
        <v>1039.821868</v>
      </c>
      <c r="L11" s="159">
        <f>-PMT('3. Assumptions and Drivers'!$K$35/12,'3. Assumptions and Drivers'!$K$36,'3. Assumptions and Drivers'!$K$34)-L14</f>
        <v>1048.920309</v>
      </c>
      <c r="M11" s="159">
        <f>-PMT('3. Assumptions and Drivers'!$K$35/12,'3. Assumptions and Drivers'!$K$36,'3. Assumptions and Drivers'!$K$34)-M14</f>
        <v>1058.098362</v>
      </c>
      <c r="N11" s="115">
        <f t="shared" si="5"/>
        <v>12108.60623</v>
      </c>
    </row>
    <row r="12" ht="15.75" customHeight="1">
      <c r="A12" s="3" t="s">
        <v>386</v>
      </c>
      <c r="B12" s="159">
        <f t="shared" ref="B12:M12" si="6">B9+B10-B11</f>
        <v>117574.5524</v>
      </c>
      <c r="C12" s="159">
        <f t="shared" si="6"/>
        <v>116604.7336</v>
      </c>
      <c r="D12" s="159">
        <f t="shared" si="6"/>
        <v>115626.429</v>
      </c>
      <c r="E12" s="159">
        <f t="shared" si="6"/>
        <v>114639.5642</v>
      </c>
      <c r="F12" s="159">
        <f t="shared" si="6"/>
        <v>113644.0643</v>
      </c>
      <c r="G12" s="159">
        <f t="shared" si="6"/>
        <v>112639.8538</v>
      </c>
      <c r="H12" s="159">
        <f t="shared" si="6"/>
        <v>111626.8565</v>
      </c>
      <c r="I12" s="159">
        <f t="shared" si="6"/>
        <v>110604.9954</v>
      </c>
      <c r="J12" s="159">
        <f t="shared" si="6"/>
        <v>109574.1931</v>
      </c>
      <c r="K12" s="159">
        <f t="shared" si="6"/>
        <v>108534.3712</v>
      </c>
      <c r="L12" s="159">
        <f t="shared" si="6"/>
        <v>107485.4509</v>
      </c>
      <c r="M12" s="159">
        <f t="shared" si="6"/>
        <v>106427.3525</v>
      </c>
      <c r="N12" s="77">
        <f>M12</f>
        <v>106427.3525</v>
      </c>
    </row>
    <row r="13" ht="15.75" customHeight="1">
      <c r="A13" s="3"/>
      <c r="B13" s="115"/>
      <c r="C13" s="115"/>
      <c r="D13" s="115"/>
      <c r="E13" s="115"/>
      <c r="F13" s="115"/>
      <c r="G13" s="77"/>
      <c r="H13" s="77"/>
      <c r="I13" s="77"/>
      <c r="J13" s="77"/>
      <c r="K13" s="77"/>
      <c r="L13" s="77"/>
      <c r="M13" s="77"/>
      <c r="N13" s="77"/>
    </row>
    <row r="14" ht="15.75" customHeight="1">
      <c r="A14" s="3" t="s">
        <v>387</v>
      </c>
      <c r="B14" s="159">
        <f>B9*('3. Assumptions and Drivers'!$K$35/12)</f>
        <v>1037.189639</v>
      </c>
      <c r="C14" s="159">
        <f>C9*('3. Assumptions and Drivers'!$K$35/12)</f>
        <v>1028.777333</v>
      </c>
      <c r="D14" s="159">
        <f>D9*('3. Assumptions and Drivers'!$K$35/12)</f>
        <v>1020.291419</v>
      </c>
      <c r="E14" s="159">
        <f>E9*('3. Assumptions and Drivers'!$K$35/12)</f>
        <v>1011.731254</v>
      </c>
      <c r="F14" s="159">
        <f>F9*('3. Assumptions and Drivers'!$K$35/12)</f>
        <v>1003.096187</v>
      </c>
      <c r="G14" s="159">
        <f>G9*('3. Assumptions and Drivers'!$K$35/12)</f>
        <v>994.3855628</v>
      </c>
      <c r="H14" s="159">
        <f>H9*('3. Assumptions and Drivers'!$K$35/12)</f>
        <v>985.598721</v>
      </c>
      <c r="I14" s="159">
        <f>I9*('3. Assumptions and Drivers'!$K$35/12)</f>
        <v>976.7349943</v>
      </c>
      <c r="J14" s="159">
        <f>J9*('3. Assumptions and Drivers'!$K$35/12)</f>
        <v>967.79371</v>
      </c>
      <c r="K14" s="159">
        <f>K9*('3. Assumptions and Drivers'!$K$35/12)</f>
        <v>958.7741894</v>
      </c>
      <c r="L14" s="159">
        <f>L9*('3. Assumptions and Drivers'!$K$35/12)</f>
        <v>949.6757481</v>
      </c>
      <c r="M14" s="159">
        <f>M9*('3. Assumptions and Drivers'!$K$35/12)</f>
        <v>940.4976954</v>
      </c>
      <c r="N14" s="77">
        <f>SUM(B14:M14)</f>
        <v>11874.54645</v>
      </c>
    </row>
    <row r="15" ht="15.75" customHeight="1">
      <c r="A15" s="3"/>
      <c r="B15" s="115"/>
      <c r="C15" s="115"/>
      <c r="D15" s="115"/>
      <c r="E15" s="115"/>
      <c r="F15" s="115"/>
      <c r="G15" s="77"/>
      <c r="H15" s="77"/>
      <c r="I15" s="77"/>
      <c r="J15" s="77"/>
      <c r="K15" s="77"/>
      <c r="L15" s="77"/>
      <c r="M15" s="77"/>
      <c r="N15" s="77"/>
    </row>
    <row r="16" ht="15.75" customHeight="1">
      <c r="A16" s="3" t="s">
        <v>388</v>
      </c>
      <c r="B16" s="182">
        <f t="shared" ref="B16:M16" si="7">SUM(B11,B14)</f>
        <v>1998.596057</v>
      </c>
      <c r="C16" s="182">
        <f t="shared" si="7"/>
        <v>1998.596057</v>
      </c>
      <c r="D16" s="182">
        <f t="shared" si="7"/>
        <v>1998.596057</v>
      </c>
      <c r="E16" s="182">
        <f t="shared" si="7"/>
        <v>1998.596057</v>
      </c>
      <c r="F16" s="182">
        <f t="shared" si="7"/>
        <v>1998.596057</v>
      </c>
      <c r="G16" s="182">
        <f t="shared" si="7"/>
        <v>1998.596057</v>
      </c>
      <c r="H16" s="182">
        <f t="shared" si="7"/>
        <v>1998.596057</v>
      </c>
      <c r="I16" s="182">
        <f t="shared" si="7"/>
        <v>1998.596057</v>
      </c>
      <c r="J16" s="182">
        <f t="shared" si="7"/>
        <v>1998.596057</v>
      </c>
      <c r="K16" s="182">
        <f t="shared" si="7"/>
        <v>1998.596057</v>
      </c>
      <c r="L16" s="182">
        <f t="shared" si="7"/>
        <v>1998.596057</v>
      </c>
      <c r="M16" s="182">
        <f t="shared" si="7"/>
        <v>1998.596057</v>
      </c>
      <c r="N16" s="101">
        <f>SUM(B16:M16)</f>
        <v>23983.15269</v>
      </c>
    </row>
    <row r="17" ht="15.75" customHeight="1">
      <c r="A17" s="3"/>
      <c r="B17" s="115"/>
      <c r="C17" s="115"/>
      <c r="D17" s="115"/>
      <c r="E17" s="115"/>
      <c r="F17" s="115"/>
      <c r="G17" s="77"/>
      <c r="H17" s="77"/>
      <c r="I17" s="77"/>
      <c r="J17" s="77"/>
      <c r="K17" s="77"/>
      <c r="L17" s="77"/>
      <c r="M17" s="77"/>
      <c r="N17" s="77"/>
    </row>
    <row r="18" ht="15.75" customHeight="1">
      <c r="A18" s="123" t="s">
        <v>389</v>
      </c>
      <c r="B18" s="183">
        <f>'8. Financial Statements'!B9</f>
        <v>10478.8082</v>
      </c>
      <c r="C18" s="183">
        <f>'8. Financial Statements'!C9</f>
        <v>-21108.7863</v>
      </c>
      <c r="D18" s="183">
        <f>'8. Financial Statements'!D9</f>
        <v>2513.890432</v>
      </c>
      <c r="E18" s="183">
        <f>'8. Financial Statements'!E9</f>
        <v>44974.15838</v>
      </c>
      <c r="F18" s="183">
        <f>'8. Financial Statements'!F9</f>
        <v>22711.22326</v>
      </c>
      <c r="G18" s="183">
        <f>'8. Financial Statements'!G9</f>
        <v>32589.31889</v>
      </c>
      <c r="H18" s="183">
        <f>'8. Financial Statements'!H9</f>
        <v>74154.51198</v>
      </c>
      <c r="I18" s="183">
        <f>'8. Financial Statements'!I9</f>
        <v>98338.30884</v>
      </c>
      <c r="J18" s="183">
        <f>'8. Financial Statements'!J9</f>
        <v>62416.95903</v>
      </c>
      <c r="K18" s="183">
        <f>'8. Financial Statements'!K9</f>
        <v>72497.4451</v>
      </c>
      <c r="L18" s="183">
        <f>'8. Financial Statements'!L9</f>
        <v>82600.66479</v>
      </c>
      <c r="M18" s="183">
        <f>'8. Financial Statements'!M9</f>
        <v>125516.5057</v>
      </c>
      <c r="N18" s="183">
        <f>'8. Financial Statements'!N9</f>
        <v>607683.0083</v>
      </c>
    </row>
    <row r="19" ht="15.75" customHeight="1">
      <c r="A19" s="123" t="s">
        <v>390</v>
      </c>
      <c r="B19" s="115">
        <f>SUM('8. Financial Statements'!B14:B15)</f>
        <v>2387.393187</v>
      </c>
      <c r="C19" s="115">
        <f>SUM('8. Financial Statements'!C14:C15)</f>
        <v>0</v>
      </c>
      <c r="D19" s="115">
        <f>SUM('8. Financial Statements'!D14:D15)</f>
        <v>195.0614674</v>
      </c>
      <c r="E19" s="115">
        <f>SUM('8. Financial Statements'!E14:E15)</f>
        <v>11629.79344</v>
      </c>
      <c r="F19" s="115">
        <f>SUM('8. Financial Statements'!F14:F15)</f>
        <v>5637.823147</v>
      </c>
      <c r="G19" s="115">
        <f>SUM('8. Financial Statements'!G14:G15)</f>
        <v>8299.845732</v>
      </c>
      <c r="H19" s="115">
        <f>SUM('8. Financial Statements'!H14:H15)</f>
        <v>19441.31237</v>
      </c>
      <c r="I19" s="115">
        <f>SUM('8. Financial Statements'!I14:I15)</f>
        <v>25955.18624</v>
      </c>
      <c r="J19" s="115">
        <f>SUM('8. Financial Statements'!J14:J15)</f>
        <v>16285.77024</v>
      </c>
      <c r="K19" s="115">
        <f>SUM('8. Financial Statements'!K14:K15)</f>
        <v>19002.36962</v>
      </c>
      <c r="L19" s="115">
        <f>SUM('8. Financial Statements'!L14:L15)</f>
        <v>21725.11128</v>
      </c>
      <c r="M19" s="115">
        <f>SUM('8. Financial Statements'!M14:M15)</f>
        <v>33282.67264</v>
      </c>
      <c r="N19" s="115">
        <f>SUM('8. Financial Statements'!N14:N15)</f>
        <v>163842.3394</v>
      </c>
    </row>
    <row r="20" ht="15.75" customHeight="1">
      <c r="A20" s="123" t="s">
        <v>391</v>
      </c>
      <c r="B20" s="115">
        <f t="shared" ref="B20:N20" si="8">MIN(B4,B5)</f>
        <v>574.7915</v>
      </c>
      <c r="C20" s="115">
        <f t="shared" si="8"/>
        <v>769.1367381</v>
      </c>
      <c r="D20" s="115">
        <f t="shared" si="8"/>
        <v>0</v>
      </c>
      <c r="E20" s="115">
        <f t="shared" si="8"/>
        <v>0</v>
      </c>
      <c r="F20" s="115">
        <f t="shared" si="8"/>
        <v>0</v>
      </c>
      <c r="G20" s="115">
        <f t="shared" si="8"/>
        <v>0</v>
      </c>
      <c r="H20" s="115">
        <f t="shared" si="8"/>
        <v>963.4819762</v>
      </c>
      <c r="I20" s="115">
        <f t="shared" si="8"/>
        <v>0</v>
      </c>
      <c r="J20" s="115">
        <f t="shared" si="8"/>
        <v>0</v>
      </c>
      <c r="K20" s="115">
        <f t="shared" si="8"/>
        <v>0</v>
      </c>
      <c r="L20" s="115">
        <f t="shared" si="8"/>
        <v>0</v>
      </c>
      <c r="M20" s="115">
        <f t="shared" si="8"/>
        <v>0</v>
      </c>
      <c r="N20" s="115">
        <f t="shared" si="8"/>
        <v>10201.36705</v>
      </c>
    </row>
    <row r="21" ht="15.75" customHeight="1">
      <c r="A21" s="123" t="s">
        <v>392</v>
      </c>
      <c r="B21" s="115">
        <f>'8. Financial Statements'!B23</f>
        <v>64225.48048</v>
      </c>
      <c r="C21" s="115">
        <f>'8. Financial Statements'!C23</f>
        <v>56720.84186</v>
      </c>
      <c r="D21" s="115">
        <f>'8. Financial Statements'!D23</f>
        <v>88607.46754</v>
      </c>
      <c r="E21" s="115">
        <f>'8. Financial Statements'!E23</f>
        <v>77546.56479</v>
      </c>
      <c r="F21" s="115">
        <f>'8. Financial Statements'!F23</f>
        <v>66486.27472</v>
      </c>
      <c r="G21" s="115">
        <f>'8. Financial Statements'!G23</f>
        <v>114371.5977</v>
      </c>
      <c r="H21" s="115">
        <f>'8. Financial Statements'!H23</f>
        <v>97975.61648</v>
      </c>
      <c r="I21" s="115">
        <f>'8. Financial Statements'!I23</f>
        <v>81598.38962</v>
      </c>
      <c r="J21" s="115">
        <f>'8. Financial Statements'!J23</f>
        <v>6909.990816</v>
      </c>
      <c r="K21" s="115">
        <f>'8. Financial Statements'!K23</f>
        <v>-4132.425255</v>
      </c>
      <c r="L21" s="115">
        <f>'8. Financial Statements'!L23</f>
        <v>-15197.57494</v>
      </c>
      <c r="M21" s="115">
        <f>'8. Financial Statements'!M23</f>
        <v>-54272.62562</v>
      </c>
      <c r="N21" s="115">
        <f>'8. Financial Statements'!N23</f>
        <v>580839.5982</v>
      </c>
    </row>
    <row r="22" ht="15.75" customHeight="1">
      <c r="A22" s="123" t="s">
        <v>393</v>
      </c>
      <c r="B22" s="184">
        <f t="shared" ref="B22:N22" si="9">B18 - B19 - B20 + B21</f>
        <v>71742.104</v>
      </c>
      <c r="C22" s="184">
        <f t="shared" si="9"/>
        <v>34842.91882</v>
      </c>
      <c r="D22" s="184">
        <f t="shared" si="9"/>
        <v>90926.2965</v>
      </c>
      <c r="E22" s="184">
        <f t="shared" si="9"/>
        <v>110890.9297</v>
      </c>
      <c r="F22" s="184">
        <f t="shared" si="9"/>
        <v>83559.67482</v>
      </c>
      <c r="G22" s="184">
        <f t="shared" si="9"/>
        <v>138661.0709</v>
      </c>
      <c r="H22" s="184">
        <f t="shared" si="9"/>
        <v>151725.3341</v>
      </c>
      <c r="I22" s="184">
        <f t="shared" si="9"/>
        <v>153981.5122</v>
      </c>
      <c r="J22" s="184">
        <f t="shared" si="9"/>
        <v>53041.17961</v>
      </c>
      <c r="K22" s="184">
        <f t="shared" si="9"/>
        <v>49362.65023</v>
      </c>
      <c r="L22" s="184">
        <f t="shared" si="9"/>
        <v>45677.97857</v>
      </c>
      <c r="M22" s="184">
        <f t="shared" si="9"/>
        <v>37961.20747</v>
      </c>
      <c r="N22" s="184">
        <f t="shared" si="9"/>
        <v>1014478.9</v>
      </c>
    </row>
    <row r="23" ht="15.75" customHeight="1">
      <c r="A23" s="185" t="s">
        <v>394</v>
      </c>
      <c r="B23" s="186">
        <f t="shared" ref="B23:N23" si="10">B22/B16</f>
        <v>35.89625014</v>
      </c>
      <c r="C23" s="186">
        <f t="shared" si="10"/>
        <v>17.43369737</v>
      </c>
      <c r="D23" s="186">
        <f t="shared" si="10"/>
        <v>45.4950845</v>
      </c>
      <c r="E23" s="186">
        <f t="shared" si="10"/>
        <v>55.48441334</v>
      </c>
      <c r="F23" s="186">
        <f t="shared" si="10"/>
        <v>41.80918626</v>
      </c>
      <c r="G23" s="186">
        <f t="shared" si="10"/>
        <v>69.37923767</v>
      </c>
      <c r="H23" s="186">
        <f t="shared" si="10"/>
        <v>75.91595788</v>
      </c>
      <c r="I23" s="186">
        <f t="shared" si="10"/>
        <v>77.04483938</v>
      </c>
      <c r="J23" s="186">
        <f t="shared" si="10"/>
        <v>26.53921958</v>
      </c>
      <c r="K23" s="186">
        <f t="shared" si="10"/>
        <v>24.69866287</v>
      </c>
      <c r="L23" s="186">
        <f t="shared" si="10"/>
        <v>22.85503286</v>
      </c>
      <c r="M23" s="186">
        <f t="shared" si="10"/>
        <v>18.99393693</v>
      </c>
      <c r="N23" s="186">
        <f t="shared" si="10"/>
        <v>42.29964731</v>
      </c>
    </row>
    <row r="24" ht="15.75" customHeight="1">
      <c r="A24" s="3"/>
      <c r="B24" s="115"/>
      <c r="C24" s="115"/>
      <c r="D24" s="115"/>
      <c r="E24" s="115"/>
      <c r="F24" s="115"/>
      <c r="G24" s="77"/>
      <c r="H24" s="77"/>
      <c r="I24" s="77"/>
      <c r="J24" s="77"/>
      <c r="K24" s="77"/>
      <c r="L24" s="77"/>
      <c r="M24" s="77"/>
      <c r="N24" s="77"/>
    </row>
    <row r="25" ht="15.75" customHeight="1">
      <c r="A25" s="3"/>
      <c r="B25" s="115"/>
      <c r="C25" s="115"/>
      <c r="D25" s="115"/>
      <c r="E25" s="115"/>
      <c r="F25" s="115"/>
      <c r="G25" s="77"/>
      <c r="H25" s="77"/>
      <c r="I25" s="77"/>
      <c r="J25" s="77"/>
      <c r="K25" s="77"/>
      <c r="L25" s="77"/>
      <c r="M25" s="77"/>
      <c r="N25" s="77"/>
    </row>
    <row r="26" ht="15.75" customHeight="1">
      <c r="A26" s="3"/>
      <c r="B26" s="115"/>
      <c r="C26" s="115"/>
      <c r="D26" s="115"/>
      <c r="E26" s="115"/>
      <c r="F26" s="115"/>
      <c r="G26" s="77"/>
      <c r="H26" s="77"/>
      <c r="I26" s="77"/>
      <c r="J26" s="77"/>
      <c r="K26" s="77"/>
      <c r="L26" s="77"/>
      <c r="M26" s="77"/>
      <c r="N26" s="77"/>
    </row>
    <row r="27" ht="15.75" customHeight="1">
      <c r="A27" s="3"/>
      <c r="B27" s="115"/>
      <c r="C27" s="115"/>
      <c r="D27" s="115"/>
      <c r="E27" s="115"/>
      <c r="F27" s="115"/>
      <c r="G27" s="77"/>
      <c r="H27" s="77"/>
      <c r="I27" s="77"/>
      <c r="J27" s="77"/>
      <c r="K27" s="77"/>
      <c r="L27" s="77"/>
      <c r="M27" s="77"/>
      <c r="N27" s="77"/>
    </row>
    <row r="28" ht="15.75" customHeight="1">
      <c r="A28" s="3"/>
      <c r="B28" s="115"/>
      <c r="C28" s="115"/>
      <c r="D28" s="115"/>
      <c r="E28" s="115"/>
      <c r="F28" s="115"/>
      <c r="G28" s="77"/>
      <c r="H28" s="77"/>
      <c r="I28" s="77"/>
      <c r="J28" s="77"/>
      <c r="K28" s="77"/>
      <c r="L28" s="77"/>
      <c r="M28" s="77"/>
      <c r="N28" s="77"/>
    </row>
    <row r="29" ht="15.75" customHeight="1">
      <c r="A29" s="3"/>
      <c r="B29" s="115"/>
      <c r="C29" s="115"/>
      <c r="D29" s="115"/>
      <c r="E29" s="115"/>
      <c r="F29" s="115"/>
      <c r="G29" s="77"/>
      <c r="H29" s="77"/>
      <c r="I29" s="77"/>
      <c r="J29" s="77"/>
      <c r="K29" s="77"/>
      <c r="L29" s="77"/>
      <c r="M29" s="77"/>
      <c r="N29" s="77"/>
    </row>
    <row r="30" ht="15.75" customHeight="1">
      <c r="A30" s="3"/>
      <c r="B30" s="115"/>
      <c r="C30" s="115"/>
      <c r="D30" s="115"/>
      <c r="E30" s="115"/>
      <c r="F30" s="115"/>
      <c r="G30" s="77"/>
      <c r="H30" s="77"/>
      <c r="I30" s="77"/>
      <c r="J30" s="77"/>
      <c r="K30" s="77"/>
      <c r="L30" s="77"/>
      <c r="M30" s="77"/>
      <c r="N30" s="77"/>
    </row>
    <row r="31" ht="15.75" customHeight="1">
      <c r="A31" s="3"/>
      <c r="B31" s="115"/>
      <c r="C31" s="115"/>
      <c r="D31" s="115"/>
      <c r="E31" s="115"/>
      <c r="F31" s="115"/>
      <c r="G31" s="77"/>
      <c r="H31" s="77"/>
      <c r="I31" s="77"/>
      <c r="J31" s="77"/>
      <c r="K31" s="77"/>
      <c r="L31" s="77"/>
      <c r="M31" s="77"/>
      <c r="N31" s="77"/>
    </row>
    <row r="32" ht="15.75" customHeight="1">
      <c r="A32" s="3"/>
      <c r="B32" s="115"/>
      <c r="C32" s="115"/>
      <c r="D32" s="115"/>
      <c r="E32" s="115"/>
      <c r="F32" s="115"/>
      <c r="G32" s="77"/>
      <c r="H32" s="77"/>
      <c r="I32" s="77"/>
      <c r="J32" s="77"/>
      <c r="K32" s="77"/>
      <c r="L32" s="77"/>
      <c r="M32" s="77"/>
      <c r="N32" s="77"/>
    </row>
    <row r="33" ht="15.75" customHeight="1">
      <c r="A33" s="3"/>
      <c r="B33" s="115"/>
      <c r="C33" s="115"/>
      <c r="D33" s="115"/>
      <c r="E33" s="115"/>
      <c r="F33" s="115"/>
      <c r="G33" s="77"/>
      <c r="H33" s="77"/>
      <c r="I33" s="77"/>
      <c r="J33" s="77"/>
      <c r="K33" s="77"/>
      <c r="L33" s="77"/>
      <c r="M33" s="77"/>
      <c r="N33" s="77"/>
    </row>
    <row r="34" ht="15.75" customHeight="1">
      <c r="A34" s="3"/>
      <c r="B34" s="115"/>
      <c r="C34" s="115"/>
      <c r="D34" s="115"/>
      <c r="E34" s="115"/>
      <c r="F34" s="115"/>
      <c r="G34" s="77"/>
      <c r="H34" s="77"/>
      <c r="I34" s="77"/>
      <c r="J34" s="77"/>
      <c r="K34" s="77"/>
      <c r="L34" s="77"/>
      <c r="M34" s="77"/>
      <c r="N34" s="77"/>
    </row>
    <row r="35" ht="15.75" customHeight="1">
      <c r="A35" s="3"/>
      <c r="B35" s="115"/>
      <c r="C35" s="115"/>
      <c r="D35" s="115"/>
      <c r="E35" s="115"/>
      <c r="F35" s="115"/>
      <c r="G35" s="77"/>
      <c r="H35" s="77"/>
      <c r="I35" s="77"/>
      <c r="J35" s="77"/>
      <c r="K35" s="77"/>
      <c r="L35" s="77"/>
      <c r="M35" s="77"/>
      <c r="N35" s="77"/>
    </row>
    <row r="36" ht="15.75" customHeight="1">
      <c r="A36" s="3"/>
      <c r="B36" s="115"/>
      <c r="C36" s="115"/>
      <c r="D36" s="115"/>
      <c r="E36" s="115"/>
      <c r="F36" s="115"/>
      <c r="G36" s="77"/>
      <c r="H36" s="77"/>
      <c r="I36" s="77"/>
      <c r="J36" s="77"/>
      <c r="K36" s="77"/>
      <c r="L36" s="77"/>
      <c r="M36" s="77"/>
      <c r="N36" s="77"/>
    </row>
    <row r="37" ht="15.75" customHeight="1">
      <c r="A37" s="3"/>
      <c r="B37" s="115"/>
      <c r="C37" s="115"/>
      <c r="D37" s="115"/>
      <c r="E37" s="115"/>
      <c r="F37" s="115"/>
      <c r="G37" s="77"/>
      <c r="H37" s="77"/>
      <c r="I37" s="77"/>
      <c r="J37" s="77"/>
      <c r="K37" s="77"/>
      <c r="L37" s="77"/>
      <c r="M37" s="77"/>
      <c r="N37" s="77"/>
    </row>
    <row r="38" ht="15.75" customHeight="1">
      <c r="A38" s="3"/>
      <c r="B38" s="115"/>
      <c r="C38" s="115"/>
      <c r="D38" s="115"/>
      <c r="E38" s="115"/>
      <c r="F38" s="115"/>
      <c r="G38" s="77"/>
      <c r="H38" s="77"/>
      <c r="I38" s="77"/>
      <c r="J38" s="77"/>
      <c r="K38" s="77"/>
      <c r="L38" s="77"/>
      <c r="M38" s="77"/>
      <c r="N38" s="77"/>
    </row>
    <row r="39" ht="15.75" customHeight="1">
      <c r="A39" s="3"/>
      <c r="B39" s="115"/>
      <c r="C39" s="115"/>
      <c r="D39" s="115"/>
      <c r="E39" s="115"/>
      <c r="F39" s="115"/>
      <c r="G39" s="77"/>
      <c r="H39" s="77"/>
      <c r="I39" s="77"/>
      <c r="J39" s="77"/>
      <c r="K39" s="77"/>
      <c r="L39" s="77"/>
      <c r="M39" s="77"/>
      <c r="N39" s="77"/>
    </row>
    <row r="40" ht="15.75" customHeight="1">
      <c r="A40" s="3"/>
      <c r="B40" s="115"/>
      <c r="C40" s="115"/>
      <c r="D40" s="115"/>
      <c r="E40" s="115"/>
      <c r="F40" s="115"/>
      <c r="G40" s="77"/>
      <c r="H40" s="77"/>
      <c r="I40" s="77"/>
      <c r="J40" s="77"/>
      <c r="K40" s="77"/>
      <c r="L40" s="77"/>
      <c r="M40" s="77"/>
      <c r="N40" s="77"/>
    </row>
    <row r="41" ht="15.75" customHeight="1">
      <c r="A41" s="3"/>
      <c r="B41" s="115"/>
      <c r="C41" s="115"/>
      <c r="D41" s="115"/>
      <c r="E41" s="115"/>
      <c r="F41" s="115"/>
      <c r="G41" s="77"/>
      <c r="H41" s="77"/>
      <c r="I41" s="77"/>
      <c r="J41" s="77"/>
      <c r="K41" s="77"/>
      <c r="L41" s="77"/>
      <c r="M41" s="77"/>
      <c r="N41" s="77"/>
    </row>
    <row r="42" ht="15.75" customHeight="1">
      <c r="A42" s="3"/>
      <c r="B42" s="115"/>
      <c r="C42" s="115"/>
      <c r="D42" s="115"/>
      <c r="E42" s="115"/>
      <c r="F42" s="115"/>
      <c r="G42" s="77"/>
      <c r="H42" s="77"/>
      <c r="I42" s="77"/>
      <c r="J42" s="77"/>
      <c r="K42" s="77"/>
      <c r="L42" s="77"/>
      <c r="M42" s="77"/>
      <c r="N42" s="77"/>
    </row>
    <row r="43" ht="15.75" customHeight="1">
      <c r="A43" s="3"/>
      <c r="B43" s="115"/>
      <c r="C43" s="115"/>
      <c r="D43" s="115"/>
      <c r="E43" s="115"/>
      <c r="F43" s="115"/>
      <c r="G43" s="77"/>
      <c r="H43" s="77"/>
      <c r="I43" s="77"/>
      <c r="J43" s="77"/>
      <c r="K43" s="77"/>
      <c r="L43" s="77"/>
      <c r="M43" s="77"/>
      <c r="N43" s="77"/>
    </row>
    <row r="44" ht="15.75" customHeight="1">
      <c r="A44" s="3"/>
      <c r="B44" s="115"/>
      <c r="C44" s="115"/>
      <c r="D44" s="115"/>
      <c r="E44" s="115"/>
      <c r="F44" s="115"/>
      <c r="G44" s="77"/>
      <c r="H44" s="77"/>
      <c r="I44" s="77"/>
      <c r="J44" s="77"/>
      <c r="K44" s="77"/>
      <c r="L44" s="77"/>
      <c r="M44" s="77"/>
      <c r="N44" s="77"/>
    </row>
    <row r="45" ht="15.75" customHeight="1">
      <c r="A45" s="3"/>
      <c r="B45" s="115"/>
      <c r="C45" s="115"/>
      <c r="D45" s="115"/>
      <c r="E45" s="115"/>
      <c r="F45" s="115"/>
      <c r="G45" s="77"/>
      <c r="H45" s="77"/>
      <c r="I45" s="77"/>
      <c r="J45" s="77"/>
      <c r="K45" s="77"/>
      <c r="L45" s="77"/>
      <c r="M45" s="77"/>
      <c r="N45" s="77"/>
    </row>
    <row r="46" ht="15.75" customHeight="1">
      <c r="A46" s="3"/>
      <c r="B46" s="115"/>
      <c r="C46" s="115"/>
      <c r="D46" s="115"/>
      <c r="E46" s="115"/>
      <c r="F46" s="115"/>
      <c r="G46" s="77"/>
      <c r="H46" s="77"/>
      <c r="I46" s="77"/>
      <c r="J46" s="77"/>
      <c r="K46" s="77"/>
      <c r="L46" s="77"/>
      <c r="M46" s="77"/>
      <c r="N46" s="77"/>
    </row>
    <row r="47" ht="15.75" customHeight="1">
      <c r="A47" s="3"/>
      <c r="B47" s="115"/>
      <c r="C47" s="115"/>
      <c r="D47" s="115"/>
      <c r="E47" s="115"/>
      <c r="F47" s="115"/>
      <c r="G47" s="77"/>
      <c r="H47" s="77"/>
      <c r="I47" s="77"/>
      <c r="J47" s="77"/>
      <c r="K47" s="77"/>
      <c r="L47" s="77"/>
      <c r="M47" s="77"/>
      <c r="N47" s="77"/>
    </row>
    <row r="48" ht="15.75" customHeight="1">
      <c r="A48" s="3"/>
      <c r="B48" s="115"/>
      <c r="C48" s="115"/>
      <c r="D48" s="115"/>
      <c r="E48" s="115"/>
      <c r="F48" s="115"/>
      <c r="G48" s="77"/>
      <c r="H48" s="77"/>
      <c r="I48" s="77"/>
      <c r="J48" s="77"/>
      <c r="K48" s="77"/>
      <c r="L48" s="77"/>
      <c r="M48" s="77"/>
      <c r="N48" s="77"/>
    </row>
    <row r="49" ht="15.75" customHeight="1">
      <c r="A49" s="3"/>
      <c r="B49" s="115"/>
      <c r="C49" s="115"/>
      <c r="D49" s="115"/>
      <c r="E49" s="115"/>
      <c r="F49" s="115"/>
      <c r="G49" s="77"/>
      <c r="H49" s="77"/>
      <c r="I49" s="77"/>
      <c r="J49" s="77"/>
      <c r="K49" s="77"/>
      <c r="L49" s="77"/>
      <c r="M49" s="77"/>
      <c r="N49" s="77"/>
    </row>
    <row r="50" ht="15.75" customHeight="1">
      <c r="A50" s="3"/>
      <c r="B50" s="115"/>
      <c r="C50" s="115"/>
      <c r="D50" s="115"/>
      <c r="E50" s="115"/>
      <c r="F50" s="115"/>
      <c r="G50" s="77"/>
      <c r="H50" s="77"/>
      <c r="I50" s="77"/>
      <c r="J50" s="77"/>
      <c r="K50" s="77"/>
      <c r="L50" s="77"/>
      <c r="M50" s="77"/>
      <c r="N50" s="77"/>
    </row>
    <row r="51" ht="15.75" customHeight="1">
      <c r="A51" s="3"/>
      <c r="B51" s="115"/>
      <c r="C51" s="115"/>
      <c r="D51" s="115"/>
      <c r="E51" s="115"/>
      <c r="F51" s="115"/>
      <c r="G51" s="77"/>
      <c r="H51" s="77"/>
      <c r="I51" s="77"/>
      <c r="J51" s="77"/>
      <c r="K51" s="77"/>
      <c r="L51" s="77"/>
      <c r="M51" s="77"/>
      <c r="N51" s="77"/>
    </row>
    <row r="52" ht="15.75" customHeight="1">
      <c r="A52" s="3"/>
      <c r="B52" s="115"/>
      <c r="C52" s="115"/>
      <c r="D52" s="115"/>
      <c r="E52" s="115"/>
      <c r="F52" s="115"/>
      <c r="G52" s="77"/>
      <c r="H52" s="77"/>
      <c r="I52" s="77"/>
      <c r="J52" s="77"/>
      <c r="K52" s="77"/>
      <c r="L52" s="77"/>
      <c r="M52" s="77"/>
      <c r="N52" s="77"/>
    </row>
    <row r="53" ht="15.75" customHeight="1">
      <c r="A53" s="3"/>
      <c r="B53" s="115"/>
      <c r="C53" s="115"/>
      <c r="D53" s="115"/>
      <c r="E53" s="115"/>
      <c r="F53" s="115"/>
      <c r="G53" s="77"/>
      <c r="H53" s="77"/>
      <c r="I53" s="77"/>
      <c r="J53" s="77"/>
      <c r="K53" s="77"/>
      <c r="L53" s="77"/>
      <c r="M53" s="77"/>
      <c r="N53" s="77"/>
    </row>
    <row r="54" ht="15.75" customHeight="1">
      <c r="A54" s="3"/>
      <c r="B54" s="115"/>
      <c r="C54" s="115"/>
      <c r="D54" s="115"/>
      <c r="E54" s="115"/>
      <c r="F54" s="115"/>
      <c r="G54" s="77"/>
      <c r="H54" s="77"/>
      <c r="I54" s="77"/>
      <c r="J54" s="77"/>
      <c r="K54" s="77"/>
      <c r="L54" s="77"/>
      <c r="M54" s="77"/>
      <c r="N54" s="77"/>
    </row>
    <row r="55" ht="15.75" customHeight="1">
      <c r="A55" s="3"/>
      <c r="B55" s="115"/>
      <c r="C55" s="115"/>
      <c r="D55" s="115"/>
      <c r="E55" s="115"/>
      <c r="F55" s="115"/>
      <c r="G55" s="77"/>
      <c r="H55" s="77"/>
      <c r="I55" s="77"/>
      <c r="J55" s="77"/>
      <c r="K55" s="77"/>
      <c r="L55" s="77"/>
      <c r="M55" s="77"/>
      <c r="N55" s="77"/>
    </row>
    <row r="56" ht="15.75" customHeight="1">
      <c r="A56" s="3"/>
      <c r="B56" s="115"/>
      <c r="C56" s="115"/>
      <c r="D56" s="115"/>
      <c r="E56" s="115"/>
      <c r="F56" s="115"/>
      <c r="G56" s="77"/>
      <c r="H56" s="77"/>
      <c r="I56" s="77"/>
      <c r="J56" s="77"/>
      <c r="K56" s="77"/>
      <c r="L56" s="77"/>
      <c r="M56" s="77"/>
      <c r="N56" s="77"/>
    </row>
    <row r="57" ht="15.75" customHeight="1">
      <c r="A57" s="3"/>
      <c r="B57" s="115"/>
      <c r="C57" s="115"/>
      <c r="D57" s="115"/>
      <c r="E57" s="115"/>
      <c r="F57" s="115"/>
      <c r="G57" s="77"/>
      <c r="H57" s="77"/>
      <c r="I57" s="77"/>
      <c r="J57" s="77"/>
      <c r="K57" s="77"/>
      <c r="L57" s="77"/>
      <c r="M57" s="77"/>
      <c r="N57" s="77"/>
    </row>
    <row r="58" ht="15.75" customHeight="1">
      <c r="A58" s="3"/>
      <c r="B58" s="115"/>
      <c r="C58" s="115"/>
      <c r="D58" s="115"/>
      <c r="E58" s="115"/>
      <c r="F58" s="115"/>
      <c r="G58" s="77"/>
      <c r="H58" s="77"/>
      <c r="I58" s="77"/>
      <c r="J58" s="77"/>
      <c r="K58" s="77"/>
      <c r="L58" s="77"/>
      <c r="M58" s="77"/>
      <c r="N58" s="77"/>
    </row>
    <row r="59" ht="15.75" customHeight="1">
      <c r="A59" s="3"/>
      <c r="B59" s="115"/>
      <c r="C59" s="115"/>
      <c r="D59" s="115"/>
      <c r="E59" s="115"/>
      <c r="F59" s="115"/>
      <c r="G59" s="77"/>
      <c r="H59" s="77"/>
      <c r="I59" s="77"/>
      <c r="J59" s="77"/>
      <c r="K59" s="77"/>
      <c r="L59" s="77"/>
      <c r="M59" s="77"/>
      <c r="N59" s="77"/>
    </row>
    <row r="60" ht="15.75" customHeight="1">
      <c r="A60" s="3"/>
      <c r="B60" s="115"/>
      <c r="C60" s="115"/>
      <c r="D60" s="115"/>
      <c r="E60" s="115"/>
      <c r="F60" s="115"/>
      <c r="G60" s="77"/>
      <c r="H60" s="77"/>
      <c r="I60" s="77"/>
      <c r="J60" s="77"/>
      <c r="K60" s="77"/>
      <c r="L60" s="77"/>
      <c r="M60" s="77"/>
      <c r="N60" s="77"/>
    </row>
    <row r="61" ht="15.75" customHeight="1">
      <c r="A61" s="3"/>
      <c r="B61" s="115"/>
      <c r="C61" s="115"/>
      <c r="D61" s="115"/>
      <c r="E61" s="115"/>
      <c r="F61" s="115"/>
      <c r="G61" s="77"/>
      <c r="H61" s="77"/>
      <c r="I61" s="77"/>
      <c r="J61" s="77"/>
      <c r="K61" s="77"/>
      <c r="L61" s="77"/>
      <c r="M61" s="77"/>
      <c r="N61" s="77"/>
    </row>
    <row r="62" ht="15.75" customHeight="1">
      <c r="A62" s="3"/>
      <c r="B62" s="115"/>
      <c r="C62" s="115"/>
      <c r="D62" s="115"/>
      <c r="E62" s="115"/>
      <c r="F62" s="115"/>
      <c r="G62" s="77"/>
      <c r="H62" s="77"/>
      <c r="I62" s="77"/>
      <c r="J62" s="77"/>
      <c r="K62" s="77"/>
      <c r="L62" s="77"/>
      <c r="M62" s="77"/>
      <c r="N62" s="77"/>
    </row>
    <row r="63" ht="15.75" customHeight="1">
      <c r="A63" s="3"/>
      <c r="B63" s="115"/>
      <c r="C63" s="115"/>
      <c r="D63" s="115"/>
      <c r="E63" s="115"/>
      <c r="F63" s="115"/>
      <c r="G63" s="77"/>
      <c r="H63" s="77"/>
      <c r="I63" s="77"/>
      <c r="J63" s="77"/>
      <c r="K63" s="77"/>
      <c r="L63" s="77"/>
      <c r="M63" s="77"/>
      <c r="N63" s="77"/>
    </row>
    <row r="64" ht="15.75" customHeight="1">
      <c r="A64" s="3"/>
      <c r="B64" s="115"/>
      <c r="C64" s="115"/>
      <c r="D64" s="115"/>
      <c r="E64" s="115"/>
      <c r="F64" s="115"/>
      <c r="G64" s="77"/>
      <c r="H64" s="77"/>
      <c r="I64" s="77"/>
      <c r="J64" s="77"/>
      <c r="K64" s="77"/>
      <c r="L64" s="77"/>
      <c r="M64" s="77"/>
      <c r="N64" s="77"/>
    </row>
    <row r="65" ht="15.75" customHeight="1">
      <c r="A65" s="3"/>
      <c r="B65" s="115"/>
      <c r="C65" s="115"/>
      <c r="D65" s="115"/>
      <c r="E65" s="115"/>
      <c r="F65" s="115"/>
      <c r="G65" s="77"/>
      <c r="H65" s="77"/>
      <c r="I65" s="77"/>
      <c r="J65" s="77"/>
      <c r="K65" s="77"/>
      <c r="L65" s="77"/>
      <c r="M65" s="77"/>
      <c r="N65" s="77"/>
    </row>
    <row r="66" ht="15.75" customHeight="1">
      <c r="A66" s="3"/>
      <c r="B66" s="115"/>
      <c r="C66" s="115"/>
      <c r="D66" s="115"/>
      <c r="E66" s="115"/>
      <c r="F66" s="115"/>
      <c r="G66" s="77"/>
      <c r="H66" s="77"/>
      <c r="I66" s="77"/>
      <c r="J66" s="77"/>
      <c r="K66" s="77"/>
      <c r="L66" s="77"/>
      <c r="M66" s="77"/>
      <c r="N66" s="77"/>
    </row>
    <row r="67" ht="15.75" customHeight="1">
      <c r="A67" s="3"/>
      <c r="B67" s="115"/>
      <c r="C67" s="115"/>
      <c r="D67" s="115"/>
      <c r="E67" s="115"/>
      <c r="F67" s="115"/>
      <c r="G67" s="77"/>
      <c r="H67" s="77"/>
      <c r="I67" s="77"/>
      <c r="J67" s="77"/>
      <c r="K67" s="77"/>
      <c r="L67" s="77"/>
      <c r="M67" s="77"/>
      <c r="N67" s="77"/>
    </row>
    <row r="68" ht="15.75" customHeight="1">
      <c r="A68" s="3"/>
      <c r="B68" s="115"/>
      <c r="C68" s="115"/>
      <c r="D68" s="115"/>
      <c r="E68" s="115"/>
      <c r="F68" s="115"/>
      <c r="G68" s="77"/>
      <c r="H68" s="77"/>
      <c r="I68" s="77"/>
      <c r="J68" s="77"/>
      <c r="K68" s="77"/>
      <c r="L68" s="77"/>
      <c r="M68" s="77"/>
      <c r="N68" s="77"/>
    </row>
    <row r="69" ht="15.75" customHeight="1">
      <c r="A69" s="3"/>
      <c r="B69" s="115"/>
      <c r="C69" s="115"/>
      <c r="D69" s="115"/>
      <c r="E69" s="115"/>
      <c r="F69" s="115"/>
      <c r="G69" s="77"/>
      <c r="H69" s="77"/>
      <c r="I69" s="77"/>
      <c r="J69" s="77"/>
      <c r="K69" s="77"/>
      <c r="L69" s="77"/>
      <c r="M69" s="77"/>
      <c r="N69" s="77"/>
    </row>
    <row r="70" ht="15.75" customHeight="1">
      <c r="A70" s="3"/>
      <c r="B70" s="115"/>
      <c r="C70" s="115"/>
      <c r="D70" s="115"/>
      <c r="E70" s="115"/>
      <c r="F70" s="115"/>
      <c r="G70" s="77"/>
      <c r="H70" s="77"/>
      <c r="I70" s="77"/>
      <c r="J70" s="77"/>
      <c r="K70" s="77"/>
      <c r="L70" s="77"/>
      <c r="M70" s="77"/>
      <c r="N70" s="77"/>
    </row>
    <row r="71" ht="15.75" customHeight="1">
      <c r="A71" s="3"/>
      <c r="B71" s="115"/>
      <c r="C71" s="115"/>
      <c r="D71" s="115"/>
      <c r="E71" s="115"/>
      <c r="F71" s="115"/>
      <c r="G71" s="77"/>
      <c r="H71" s="77"/>
      <c r="I71" s="77"/>
      <c r="J71" s="77"/>
      <c r="K71" s="77"/>
      <c r="L71" s="77"/>
      <c r="M71" s="77"/>
      <c r="N71" s="77"/>
    </row>
    <row r="72" ht="15.75" customHeight="1">
      <c r="A72" s="3"/>
      <c r="B72" s="115"/>
      <c r="C72" s="115"/>
      <c r="D72" s="115"/>
      <c r="E72" s="115"/>
      <c r="F72" s="115"/>
      <c r="G72" s="77"/>
      <c r="H72" s="77"/>
      <c r="I72" s="77"/>
      <c r="J72" s="77"/>
      <c r="K72" s="77"/>
      <c r="L72" s="77"/>
      <c r="M72" s="77"/>
      <c r="N72" s="77"/>
    </row>
    <row r="73" ht="15.75" customHeight="1">
      <c r="A73" s="3"/>
      <c r="B73" s="115"/>
      <c r="C73" s="115"/>
      <c r="D73" s="115"/>
      <c r="E73" s="115"/>
      <c r="F73" s="115"/>
      <c r="G73" s="77"/>
      <c r="H73" s="77"/>
      <c r="I73" s="77"/>
      <c r="J73" s="77"/>
      <c r="K73" s="77"/>
      <c r="L73" s="77"/>
      <c r="M73" s="77"/>
      <c r="N73" s="77"/>
    </row>
    <row r="74" ht="15.75" customHeight="1">
      <c r="A74" s="3"/>
      <c r="B74" s="115"/>
      <c r="C74" s="115"/>
      <c r="D74" s="115"/>
      <c r="E74" s="115"/>
      <c r="F74" s="115"/>
      <c r="G74" s="77"/>
      <c r="H74" s="77"/>
      <c r="I74" s="77"/>
      <c r="J74" s="77"/>
      <c r="K74" s="77"/>
      <c r="L74" s="77"/>
      <c r="M74" s="77"/>
      <c r="N74" s="77"/>
    </row>
    <row r="75" ht="15.75" customHeight="1">
      <c r="A75" s="3"/>
      <c r="B75" s="115"/>
      <c r="C75" s="115"/>
      <c r="D75" s="115"/>
      <c r="E75" s="115"/>
      <c r="F75" s="115"/>
      <c r="G75" s="77"/>
      <c r="H75" s="77"/>
      <c r="I75" s="77"/>
      <c r="J75" s="77"/>
      <c r="K75" s="77"/>
      <c r="L75" s="77"/>
      <c r="M75" s="77"/>
      <c r="N75" s="77"/>
    </row>
    <row r="76" ht="15.75" customHeight="1">
      <c r="A76" s="3"/>
      <c r="B76" s="115"/>
      <c r="C76" s="115"/>
      <c r="D76" s="115"/>
      <c r="E76" s="115"/>
      <c r="F76" s="115"/>
      <c r="G76" s="77"/>
      <c r="H76" s="77"/>
      <c r="I76" s="77"/>
      <c r="J76" s="77"/>
      <c r="K76" s="77"/>
      <c r="L76" s="77"/>
      <c r="M76" s="77"/>
      <c r="N76" s="77"/>
    </row>
    <row r="77" ht="15.75" customHeight="1">
      <c r="A77" s="3"/>
      <c r="B77" s="115"/>
      <c r="C77" s="115"/>
      <c r="D77" s="115"/>
      <c r="E77" s="115"/>
      <c r="F77" s="115"/>
      <c r="G77" s="77"/>
      <c r="H77" s="77"/>
      <c r="I77" s="77"/>
      <c r="J77" s="77"/>
      <c r="K77" s="77"/>
      <c r="L77" s="77"/>
      <c r="M77" s="77"/>
      <c r="N77" s="77"/>
    </row>
    <row r="78" ht="15.75" customHeight="1">
      <c r="A78" s="3"/>
      <c r="B78" s="115"/>
      <c r="C78" s="115"/>
      <c r="D78" s="115"/>
      <c r="E78" s="115"/>
      <c r="F78" s="115"/>
      <c r="G78" s="77"/>
      <c r="H78" s="77"/>
      <c r="I78" s="77"/>
      <c r="J78" s="77"/>
      <c r="K78" s="77"/>
      <c r="L78" s="77"/>
      <c r="M78" s="77"/>
      <c r="N78" s="77"/>
    </row>
    <row r="79" ht="15.75" customHeight="1">
      <c r="A79" s="3"/>
      <c r="B79" s="115"/>
      <c r="C79" s="115"/>
      <c r="D79" s="115"/>
      <c r="E79" s="115"/>
      <c r="F79" s="115"/>
      <c r="G79" s="77"/>
      <c r="H79" s="77"/>
      <c r="I79" s="77"/>
      <c r="J79" s="77"/>
      <c r="K79" s="77"/>
      <c r="L79" s="77"/>
      <c r="M79" s="77"/>
      <c r="N79" s="77"/>
    </row>
    <row r="80" ht="15.75" customHeight="1">
      <c r="A80" s="3"/>
      <c r="B80" s="115"/>
      <c r="C80" s="115"/>
      <c r="D80" s="115"/>
      <c r="E80" s="115"/>
      <c r="F80" s="115"/>
      <c r="G80" s="77"/>
      <c r="H80" s="77"/>
      <c r="I80" s="77"/>
      <c r="J80" s="77"/>
      <c r="K80" s="77"/>
      <c r="L80" s="77"/>
      <c r="M80" s="77"/>
      <c r="N80" s="77"/>
    </row>
    <row r="81" ht="15.75" customHeight="1">
      <c r="A81" s="3"/>
      <c r="B81" s="115"/>
      <c r="C81" s="115"/>
      <c r="D81" s="115"/>
      <c r="E81" s="115"/>
      <c r="F81" s="115"/>
      <c r="G81" s="77"/>
      <c r="H81" s="77"/>
      <c r="I81" s="77"/>
      <c r="J81" s="77"/>
      <c r="K81" s="77"/>
      <c r="L81" s="77"/>
      <c r="M81" s="77"/>
      <c r="N81" s="77"/>
    </row>
    <row r="82" ht="15.75" customHeight="1">
      <c r="A82" s="3"/>
      <c r="B82" s="115"/>
      <c r="C82" s="115"/>
      <c r="D82" s="115"/>
      <c r="E82" s="115"/>
      <c r="F82" s="115"/>
      <c r="G82" s="77"/>
      <c r="H82" s="77"/>
      <c r="I82" s="77"/>
      <c r="J82" s="77"/>
      <c r="K82" s="77"/>
      <c r="L82" s="77"/>
      <c r="M82" s="77"/>
      <c r="N82" s="77"/>
    </row>
    <row r="83" ht="15.75" customHeight="1">
      <c r="A83" s="3"/>
      <c r="B83" s="115"/>
      <c r="C83" s="115"/>
      <c r="D83" s="115"/>
      <c r="E83" s="115"/>
      <c r="F83" s="115"/>
      <c r="G83" s="77"/>
      <c r="H83" s="77"/>
      <c r="I83" s="77"/>
      <c r="J83" s="77"/>
      <c r="K83" s="77"/>
      <c r="L83" s="77"/>
      <c r="M83" s="77"/>
      <c r="N83" s="77"/>
    </row>
    <row r="84" ht="15.75" customHeight="1">
      <c r="A84" s="3"/>
      <c r="B84" s="115"/>
      <c r="C84" s="115"/>
      <c r="D84" s="115"/>
      <c r="E84" s="115"/>
      <c r="F84" s="115"/>
      <c r="G84" s="77"/>
      <c r="H84" s="77"/>
      <c r="I84" s="77"/>
      <c r="J84" s="77"/>
      <c r="K84" s="77"/>
      <c r="L84" s="77"/>
      <c r="M84" s="77"/>
      <c r="N84" s="77"/>
    </row>
    <row r="85" ht="15.75" customHeight="1">
      <c r="A85" s="3"/>
      <c r="B85" s="115"/>
      <c r="C85" s="115"/>
      <c r="D85" s="115"/>
      <c r="E85" s="115"/>
      <c r="F85" s="115"/>
      <c r="G85" s="77"/>
      <c r="H85" s="77"/>
      <c r="I85" s="77"/>
      <c r="J85" s="77"/>
      <c r="K85" s="77"/>
      <c r="L85" s="77"/>
      <c r="M85" s="77"/>
      <c r="N85" s="77"/>
    </row>
    <row r="86" ht="15.75" customHeight="1">
      <c r="A86" s="3"/>
      <c r="B86" s="115"/>
      <c r="C86" s="115"/>
      <c r="D86" s="115"/>
      <c r="E86" s="115"/>
      <c r="F86" s="115"/>
      <c r="G86" s="77"/>
      <c r="H86" s="77"/>
      <c r="I86" s="77"/>
      <c r="J86" s="77"/>
      <c r="K86" s="77"/>
      <c r="L86" s="77"/>
      <c r="M86" s="77"/>
      <c r="N86" s="77"/>
    </row>
    <row r="87" ht="15.75" customHeight="1">
      <c r="A87" s="3"/>
      <c r="B87" s="115"/>
      <c r="C87" s="115"/>
      <c r="D87" s="115"/>
      <c r="E87" s="115"/>
      <c r="F87" s="115"/>
      <c r="G87" s="77"/>
      <c r="H87" s="77"/>
      <c r="I87" s="77"/>
      <c r="J87" s="77"/>
      <c r="K87" s="77"/>
      <c r="L87" s="77"/>
      <c r="M87" s="77"/>
      <c r="N87" s="77"/>
    </row>
    <row r="88" ht="15.75" customHeight="1">
      <c r="A88" s="3"/>
      <c r="B88" s="115"/>
      <c r="C88" s="115"/>
      <c r="D88" s="115"/>
      <c r="E88" s="115"/>
      <c r="F88" s="115"/>
      <c r="G88" s="77"/>
      <c r="H88" s="77"/>
      <c r="I88" s="77"/>
      <c r="J88" s="77"/>
      <c r="K88" s="77"/>
      <c r="L88" s="77"/>
      <c r="M88" s="77"/>
      <c r="N88" s="77"/>
    </row>
    <row r="89" ht="15.75" customHeight="1">
      <c r="A89" s="3"/>
      <c r="B89" s="115"/>
      <c r="C89" s="115"/>
      <c r="D89" s="115"/>
      <c r="E89" s="115"/>
      <c r="F89" s="115"/>
      <c r="G89" s="77"/>
      <c r="H89" s="77"/>
      <c r="I89" s="77"/>
      <c r="J89" s="77"/>
      <c r="K89" s="77"/>
      <c r="L89" s="77"/>
      <c r="M89" s="77"/>
      <c r="N89" s="77"/>
    </row>
    <row r="90" ht="15.75" customHeight="1">
      <c r="A90" s="3"/>
      <c r="B90" s="115"/>
      <c r="C90" s="115"/>
      <c r="D90" s="115"/>
      <c r="E90" s="115"/>
      <c r="F90" s="115"/>
      <c r="G90" s="77"/>
      <c r="H90" s="77"/>
      <c r="I90" s="77"/>
      <c r="J90" s="77"/>
      <c r="K90" s="77"/>
      <c r="L90" s="77"/>
      <c r="M90" s="77"/>
      <c r="N90" s="77"/>
    </row>
    <row r="91" ht="15.75" customHeight="1">
      <c r="A91" s="3"/>
      <c r="B91" s="115"/>
      <c r="C91" s="115"/>
      <c r="D91" s="115"/>
      <c r="E91" s="115"/>
      <c r="F91" s="115"/>
      <c r="G91" s="77"/>
      <c r="H91" s="77"/>
      <c r="I91" s="77"/>
      <c r="J91" s="77"/>
      <c r="K91" s="77"/>
      <c r="L91" s="77"/>
      <c r="M91" s="77"/>
      <c r="N91" s="77"/>
    </row>
    <row r="92" ht="15.75" customHeight="1">
      <c r="A92" s="3"/>
      <c r="B92" s="115"/>
      <c r="C92" s="115"/>
      <c r="D92" s="115"/>
      <c r="E92" s="115"/>
      <c r="F92" s="115"/>
      <c r="G92" s="77"/>
      <c r="H92" s="77"/>
      <c r="I92" s="77"/>
      <c r="J92" s="77"/>
      <c r="K92" s="77"/>
      <c r="L92" s="77"/>
      <c r="M92" s="77"/>
      <c r="N92" s="77"/>
    </row>
    <row r="93" ht="15.75" customHeight="1">
      <c r="A93" s="3"/>
      <c r="B93" s="115"/>
      <c r="C93" s="115"/>
      <c r="D93" s="115"/>
      <c r="E93" s="115"/>
      <c r="F93" s="115"/>
      <c r="G93" s="77"/>
      <c r="H93" s="77"/>
      <c r="I93" s="77"/>
      <c r="J93" s="77"/>
      <c r="K93" s="77"/>
      <c r="L93" s="77"/>
      <c r="M93" s="77"/>
      <c r="N93" s="77"/>
    </row>
    <row r="94" ht="15.75" customHeight="1">
      <c r="A94" s="3"/>
      <c r="B94" s="115"/>
      <c r="C94" s="115"/>
      <c r="D94" s="115"/>
      <c r="E94" s="115"/>
      <c r="F94" s="115"/>
      <c r="G94" s="77"/>
      <c r="H94" s="77"/>
      <c r="I94" s="77"/>
      <c r="J94" s="77"/>
      <c r="K94" s="77"/>
      <c r="L94" s="77"/>
      <c r="M94" s="77"/>
      <c r="N94" s="77"/>
    </row>
    <row r="95" ht="15.75" customHeight="1">
      <c r="A95" s="3"/>
      <c r="B95" s="115"/>
      <c r="C95" s="115"/>
      <c r="D95" s="115"/>
      <c r="E95" s="115"/>
      <c r="F95" s="115"/>
      <c r="G95" s="77"/>
      <c r="H95" s="77"/>
      <c r="I95" s="77"/>
      <c r="J95" s="77"/>
      <c r="K95" s="77"/>
      <c r="L95" s="77"/>
      <c r="M95" s="77"/>
      <c r="N95" s="77"/>
    </row>
    <row r="96" ht="15.75" customHeight="1">
      <c r="A96" s="3"/>
      <c r="B96" s="115"/>
      <c r="C96" s="115"/>
      <c r="D96" s="115"/>
      <c r="E96" s="115"/>
      <c r="F96" s="115"/>
      <c r="G96" s="77"/>
      <c r="H96" s="77"/>
      <c r="I96" s="77"/>
      <c r="J96" s="77"/>
      <c r="K96" s="77"/>
      <c r="L96" s="77"/>
      <c r="M96" s="77"/>
      <c r="N96" s="77"/>
    </row>
    <row r="97" ht="15.75" customHeight="1">
      <c r="A97" s="3"/>
      <c r="B97" s="115"/>
      <c r="C97" s="115"/>
      <c r="D97" s="115"/>
      <c r="E97" s="115"/>
      <c r="F97" s="115"/>
      <c r="G97" s="77"/>
      <c r="H97" s="77"/>
      <c r="I97" s="77"/>
      <c r="J97" s="77"/>
      <c r="K97" s="77"/>
      <c r="L97" s="77"/>
      <c r="M97" s="77"/>
      <c r="N97" s="77"/>
    </row>
    <row r="98" ht="15.75" customHeight="1">
      <c r="A98" s="3"/>
      <c r="B98" s="115"/>
      <c r="C98" s="115"/>
      <c r="D98" s="115"/>
      <c r="E98" s="115"/>
      <c r="F98" s="115"/>
      <c r="G98" s="77"/>
      <c r="H98" s="77"/>
      <c r="I98" s="77"/>
      <c r="J98" s="77"/>
      <c r="K98" s="77"/>
      <c r="L98" s="77"/>
      <c r="M98" s="77"/>
      <c r="N98" s="77"/>
    </row>
    <row r="99" ht="15.75" customHeight="1">
      <c r="A99" s="3"/>
      <c r="B99" s="115"/>
      <c r="C99" s="115"/>
      <c r="D99" s="115"/>
      <c r="E99" s="115"/>
      <c r="F99" s="115"/>
      <c r="G99" s="77"/>
      <c r="H99" s="77"/>
      <c r="I99" s="77"/>
      <c r="J99" s="77"/>
      <c r="K99" s="77"/>
      <c r="L99" s="77"/>
      <c r="M99" s="77"/>
      <c r="N99" s="77"/>
    </row>
    <row r="100" ht="15.75" customHeight="1">
      <c r="A100" s="3"/>
      <c r="B100" s="115"/>
      <c r="C100" s="115"/>
      <c r="D100" s="115"/>
      <c r="E100" s="115"/>
      <c r="F100" s="115"/>
      <c r="G100" s="77"/>
      <c r="H100" s="77"/>
      <c r="I100" s="77"/>
      <c r="J100" s="77"/>
      <c r="K100" s="77"/>
      <c r="L100" s="77"/>
      <c r="M100" s="77"/>
      <c r="N100" s="77"/>
    </row>
    <row r="101" ht="15.75" customHeight="1">
      <c r="A101" s="3"/>
      <c r="B101" s="115"/>
      <c r="C101" s="115"/>
      <c r="D101" s="115"/>
      <c r="E101" s="115"/>
      <c r="F101" s="115"/>
      <c r="G101" s="77"/>
      <c r="H101" s="77"/>
      <c r="I101" s="77"/>
      <c r="J101" s="77"/>
      <c r="K101" s="77"/>
      <c r="L101" s="77"/>
      <c r="M101" s="77"/>
      <c r="N101" s="77"/>
    </row>
    <row r="102" ht="15.75" customHeight="1">
      <c r="A102" s="3"/>
      <c r="B102" s="115"/>
      <c r="C102" s="115"/>
      <c r="D102" s="115"/>
      <c r="E102" s="115"/>
      <c r="F102" s="115"/>
      <c r="G102" s="77"/>
      <c r="H102" s="77"/>
      <c r="I102" s="77"/>
      <c r="J102" s="77"/>
      <c r="K102" s="77"/>
      <c r="L102" s="77"/>
      <c r="M102" s="77"/>
      <c r="N102" s="77"/>
    </row>
    <row r="103" ht="15.75" customHeight="1">
      <c r="A103" s="3"/>
      <c r="B103" s="115"/>
      <c r="C103" s="115"/>
      <c r="D103" s="115"/>
      <c r="E103" s="115"/>
      <c r="F103" s="115"/>
      <c r="G103" s="77"/>
      <c r="H103" s="77"/>
      <c r="I103" s="77"/>
      <c r="J103" s="77"/>
      <c r="K103" s="77"/>
      <c r="L103" s="77"/>
      <c r="M103" s="77"/>
      <c r="N103" s="77"/>
    </row>
    <row r="104" ht="15.75" customHeight="1">
      <c r="A104" s="3"/>
      <c r="B104" s="115"/>
      <c r="C104" s="115"/>
      <c r="D104" s="115"/>
      <c r="E104" s="115"/>
      <c r="F104" s="115"/>
      <c r="G104" s="77"/>
      <c r="H104" s="77"/>
      <c r="I104" s="77"/>
      <c r="J104" s="77"/>
      <c r="K104" s="77"/>
      <c r="L104" s="77"/>
      <c r="M104" s="77"/>
      <c r="N104" s="77"/>
    </row>
    <row r="105" ht="15.75" customHeight="1">
      <c r="A105" s="3"/>
      <c r="B105" s="115"/>
      <c r="C105" s="115"/>
      <c r="D105" s="115"/>
      <c r="E105" s="115"/>
      <c r="F105" s="115"/>
      <c r="G105" s="77"/>
      <c r="H105" s="77"/>
      <c r="I105" s="77"/>
      <c r="J105" s="77"/>
      <c r="K105" s="77"/>
      <c r="L105" s="77"/>
      <c r="M105" s="77"/>
      <c r="N105" s="77"/>
    </row>
    <row r="106" ht="15.75" customHeight="1">
      <c r="A106" s="3"/>
      <c r="B106" s="115"/>
      <c r="C106" s="115"/>
      <c r="D106" s="115"/>
      <c r="E106" s="115"/>
      <c r="F106" s="115"/>
      <c r="G106" s="77"/>
      <c r="H106" s="77"/>
      <c r="I106" s="77"/>
      <c r="J106" s="77"/>
      <c r="K106" s="77"/>
      <c r="L106" s="77"/>
      <c r="M106" s="77"/>
      <c r="N106" s="77"/>
    </row>
    <row r="107" ht="15.75" customHeight="1">
      <c r="A107" s="3"/>
      <c r="B107" s="115"/>
      <c r="C107" s="115"/>
      <c r="D107" s="115"/>
      <c r="E107" s="115"/>
      <c r="F107" s="115"/>
      <c r="G107" s="77"/>
      <c r="H107" s="77"/>
      <c r="I107" s="77"/>
      <c r="J107" s="77"/>
      <c r="K107" s="77"/>
      <c r="L107" s="77"/>
      <c r="M107" s="77"/>
      <c r="N107" s="77"/>
    </row>
    <row r="108" ht="15.75" customHeight="1">
      <c r="A108" s="3"/>
      <c r="B108" s="115"/>
      <c r="C108" s="115"/>
      <c r="D108" s="115"/>
      <c r="E108" s="115"/>
      <c r="F108" s="115"/>
      <c r="G108" s="77"/>
      <c r="H108" s="77"/>
      <c r="I108" s="77"/>
      <c r="J108" s="77"/>
      <c r="K108" s="77"/>
      <c r="L108" s="77"/>
      <c r="M108" s="77"/>
      <c r="N108" s="77"/>
    </row>
    <row r="109" ht="15.75" customHeight="1">
      <c r="A109" s="3"/>
      <c r="B109" s="115"/>
      <c r="C109" s="115"/>
      <c r="D109" s="115"/>
      <c r="E109" s="115"/>
      <c r="F109" s="115"/>
      <c r="G109" s="77"/>
      <c r="H109" s="77"/>
      <c r="I109" s="77"/>
      <c r="J109" s="77"/>
      <c r="K109" s="77"/>
      <c r="L109" s="77"/>
      <c r="M109" s="77"/>
      <c r="N109" s="77"/>
    </row>
    <row r="110" ht="15.75" customHeight="1">
      <c r="A110" s="3"/>
      <c r="B110" s="115"/>
      <c r="C110" s="115"/>
      <c r="D110" s="115"/>
      <c r="E110" s="115"/>
      <c r="F110" s="115"/>
      <c r="G110" s="77"/>
      <c r="H110" s="77"/>
      <c r="I110" s="77"/>
      <c r="J110" s="77"/>
      <c r="K110" s="77"/>
      <c r="L110" s="77"/>
      <c r="M110" s="77"/>
      <c r="N110" s="77"/>
    </row>
    <row r="111" ht="15.75" customHeight="1">
      <c r="A111" s="3"/>
      <c r="B111" s="115"/>
      <c r="C111" s="115"/>
      <c r="D111" s="115"/>
      <c r="E111" s="115"/>
      <c r="F111" s="115"/>
      <c r="G111" s="77"/>
      <c r="H111" s="77"/>
      <c r="I111" s="77"/>
      <c r="J111" s="77"/>
      <c r="K111" s="77"/>
      <c r="L111" s="77"/>
      <c r="M111" s="77"/>
      <c r="N111" s="77"/>
    </row>
    <row r="112" ht="15.75" customHeight="1">
      <c r="A112" s="3"/>
      <c r="B112" s="115"/>
      <c r="C112" s="115"/>
      <c r="D112" s="115"/>
      <c r="E112" s="115"/>
      <c r="F112" s="115"/>
      <c r="G112" s="77"/>
      <c r="H112" s="77"/>
      <c r="I112" s="77"/>
      <c r="J112" s="77"/>
      <c r="K112" s="77"/>
      <c r="L112" s="77"/>
      <c r="M112" s="77"/>
      <c r="N112" s="77"/>
    </row>
    <row r="113" ht="15.75" customHeight="1">
      <c r="A113" s="3"/>
      <c r="B113" s="115"/>
      <c r="C113" s="115"/>
      <c r="D113" s="115"/>
      <c r="E113" s="115"/>
      <c r="F113" s="115"/>
      <c r="G113" s="77"/>
      <c r="H113" s="77"/>
      <c r="I113" s="77"/>
      <c r="J113" s="77"/>
      <c r="K113" s="77"/>
      <c r="L113" s="77"/>
      <c r="M113" s="77"/>
      <c r="N113" s="77"/>
    </row>
    <row r="114" ht="15.75" customHeight="1">
      <c r="A114" s="3"/>
      <c r="B114" s="115"/>
      <c r="C114" s="115"/>
      <c r="D114" s="115"/>
      <c r="E114" s="115"/>
      <c r="F114" s="115"/>
      <c r="G114" s="77"/>
      <c r="H114" s="77"/>
      <c r="I114" s="77"/>
      <c r="J114" s="77"/>
      <c r="K114" s="77"/>
      <c r="L114" s="77"/>
      <c r="M114" s="77"/>
      <c r="N114" s="77"/>
    </row>
    <row r="115" ht="15.75" customHeight="1">
      <c r="A115" s="3"/>
      <c r="B115" s="115"/>
      <c r="C115" s="115"/>
      <c r="D115" s="115"/>
      <c r="E115" s="115"/>
      <c r="F115" s="115"/>
      <c r="G115" s="77"/>
      <c r="H115" s="77"/>
      <c r="I115" s="77"/>
      <c r="J115" s="77"/>
      <c r="K115" s="77"/>
      <c r="L115" s="77"/>
      <c r="M115" s="77"/>
      <c r="N115" s="77"/>
    </row>
    <row r="116" ht="15.75" customHeight="1">
      <c r="A116" s="3"/>
      <c r="B116" s="115"/>
      <c r="C116" s="115"/>
      <c r="D116" s="115"/>
      <c r="E116" s="115"/>
      <c r="F116" s="115"/>
      <c r="G116" s="77"/>
      <c r="H116" s="77"/>
      <c r="I116" s="77"/>
      <c r="J116" s="77"/>
      <c r="K116" s="77"/>
      <c r="L116" s="77"/>
      <c r="M116" s="77"/>
      <c r="N116" s="77"/>
    </row>
    <row r="117" ht="15.75" customHeight="1">
      <c r="A117" s="3"/>
      <c r="B117" s="115"/>
      <c r="C117" s="115"/>
      <c r="D117" s="115"/>
      <c r="E117" s="115"/>
      <c r="F117" s="115"/>
      <c r="G117" s="77"/>
      <c r="H117" s="77"/>
      <c r="I117" s="77"/>
      <c r="J117" s="77"/>
      <c r="K117" s="77"/>
      <c r="L117" s="77"/>
      <c r="M117" s="77"/>
      <c r="N117" s="77"/>
    </row>
    <row r="118" ht="15.75" customHeight="1">
      <c r="A118" s="3"/>
      <c r="B118" s="115"/>
      <c r="C118" s="115"/>
      <c r="D118" s="115"/>
      <c r="E118" s="115"/>
      <c r="F118" s="115"/>
      <c r="G118" s="77"/>
      <c r="H118" s="77"/>
      <c r="I118" s="77"/>
      <c r="J118" s="77"/>
      <c r="K118" s="77"/>
      <c r="L118" s="77"/>
      <c r="M118" s="77"/>
      <c r="N118" s="77"/>
    </row>
    <row r="119" ht="15.75" customHeight="1">
      <c r="A119" s="3"/>
      <c r="B119" s="115"/>
      <c r="C119" s="115"/>
      <c r="D119" s="115"/>
      <c r="E119" s="115"/>
      <c r="F119" s="115"/>
      <c r="G119" s="77"/>
      <c r="H119" s="77"/>
      <c r="I119" s="77"/>
      <c r="J119" s="77"/>
      <c r="K119" s="77"/>
      <c r="L119" s="77"/>
      <c r="M119" s="77"/>
      <c r="N119" s="77"/>
    </row>
    <row r="120" ht="15.75" customHeight="1">
      <c r="A120" s="3"/>
      <c r="B120" s="115"/>
      <c r="C120" s="115"/>
      <c r="D120" s="115"/>
      <c r="E120" s="115"/>
      <c r="F120" s="115"/>
      <c r="G120" s="77"/>
      <c r="H120" s="77"/>
      <c r="I120" s="77"/>
      <c r="J120" s="77"/>
      <c r="K120" s="77"/>
      <c r="L120" s="77"/>
      <c r="M120" s="77"/>
      <c r="N120" s="77"/>
    </row>
    <row r="121" ht="15.75" customHeight="1">
      <c r="A121" s="3"/>
      <c r="B121" s="115"/>
      <c r="C121" s="115"/>
      <c r="D121" s="115"/>
      <c r="E121" s="115"/>
      <c r="F121" s="115"/>
      <c r="G121" s="77"/>
      <c r="H121" s="77"/>
      <c r="I121" s="77"/>
      <c r="J121" s="77"/>
      <c r="K121" s="77"/>
      <c r="L121" s="77"/>
      <c r="M121" s="77"/>
      <c r="N121" s="77"/>
    </row>
    <row r="122" ht="15.75" customHeight="1">
      <c r="A122" s="3"/>
      <c r="B122" s="115"/>
      <c r="C122" s="115"/>
      <c r="D122" s="115"/>
      <c r="E122" s="115"/>
      <c r="F122" s="115"/>
      <c r="G122" s="77"/>
      <c r="H122" s="77"/>
      <c r="I122" s="77"/>
      <c r="J122" s="77"/>
      <c r="K122" s="77"/>
      <c r="L122" s="77"/>
      <c r="M122" s="77"/>
      <c r="N122" s="77"/>
    </row>
    <row r="123" ht="15.75" customHeight="1">
      <c r="A123" s="3"/>
      <c r="B123" s="115"/>
      <c r="C123" s="115"/>
      <c r="D123" s="115"/>
      <c r="E123" s="115"/>
      <c r="F123" s="115"/>
      <c r="G123" s="77"/>
      <c r="H123" s="77"/>
      <c r="I123" s="77"/>
      <c r="J123" s="77"/>
      <c r="K123" s="77"/>
      <c r="L123" s="77"/>
      <c r="M123" s="77"/>
      <c r="N123" s="77"/>
    </row>
    <row r="124" ht="15.75" customHeight="1">
      <c r="A124" s="3"/>
      <c r="B124" s="115"/>
      <c r="C124" s="115"/>
      <c r="D124" s="115"/>
      <c r="E124" s="115"/>
      <c r="F124" s="115"/>
      <c r="G124" s="77"/>
      <c r="H124" s="77"/>
      <c r="I124" s="77"/>
      <c r="J124" s="77"/>
      <c r="K124" s="77"/>
      <c r="L124" s="77"/>
      <c r="M124" s="77"/>
      <c r="N124" s="77"/>
    </row>
    <row r="125" ht="15.75" customHeight="1">
      <c r="A125" s="3"/>
      <c r="B125" s="115"/>
      <c r="C125" s="115"/>
      <c r="D125" s="115"/>
      <c r="E125" s="115"/>
      <c r="F125" s="115"/>
      <c r="G125" s="77"/>
      <c r="H125" s="77"/>
      <c r="I125" s="77"/>
      <c r="J125" s="77"/>
      <c r="K125" s="77"/>
      <c r="L125" s="77"/>
      <c r="M125" s="77"/>
      <c r="N125" s="77"/>
    </row>
    <row r="126" ht="15.75" customHeight="1">
      <c r="A126" s="3"/>
      <c r="B126" s="115"/>
      <c r="C126" s="115"/>
      <c r="D126" s="115"/>
      <c r="E126" s="115"/>
      <c r="F126" s="115"/>
      <c r="G126" s="77"/>
      <c r="H126" s="77"/>
      <c r="I126" s="77"/>
      <c r="J126" s="77"/>
      <c r="K126" s="77"/>
      <c r="L126" s="77"/>
      <c r="M126" s="77"/>
      <c r="N126" s="77"/>
    </row>
    <row r="127" ht="15.75" customHeight="1">
      <c r="A127" s="3"/>
      <c r="B127" s="115"/>
      <c r="C127" s="115"/>
      <c r="D127" s="115"/>
      <c r="E127" s="115"/>
      <c r="F127" s="115"/>
      <c r="G127" s="77"/>
      <c r="H127" s="77"/>
      <c r="I127" s="77"/>
      <c r="J127" s="77"/>
      <c r="K127" s="77"/>
      <c r="L127" s="77"/>
      <c r="M127" s="77"/>
      <c r="N127" s="77"/>
    </row>
    <row r="128" ht="15.75" customHeight="1">
      <c r="A128" s="3"/>
      <c r="B128" s="115"/>
      <c r="C128" s="115"/>
      <c r="D128" s="115"/>
      <c r="E128" s="115"/>
      <c r="F128" s="115"/>
      <c r="G128" s="77"/>
      <c r="H128" s="77"/>
      <c r="I128" s="77"/>
      <c r="J128" s="77"/>
      <c r="K128" s="77"/>
      <c r="L128" s="77"/>
      <c r="M128" s="77"/>
      <c r="N128" s="77"/>
    </row>
    <row r="129" ht="15.75" customHeight="1">
      <c r="A129" s="3"/>
      <c r="B129" s="115"/>
      <c r="C129" s="115"/>
      <c r="D129" s="115"/>
      <c r="E129" s="115"/>
      <c r="F129" s="115"/>
      <c r="G129" s="77"/>
      <c r="H129" s="77"/>
      <c r="I129" s="77"/>
      <c r="J129" s="77"/>
      <c r="K129" s="77"/>
      <c r="L129" s="77"/>
      <c r="M129" s="77"/>
      <c r="N129" s="77"/>
    </row>
    <row r="130" ht="15.75" customHeight="1">
      <c r="A130" s="3"/>
      <c r="B130" s="115"/>
      <c r="C130" s="115"/>
      <c r="D130" s="115"/>
      <c r="E130" s="115"/>
      <c r="F130" s="115"/>
      <c r="G130" s="77"/>
      <c r="H130" s="77"/>
      <c r="I130" s="77"/>
      <c r="J130" s="77"/>
      <c r="K130" s="77"/>
      <c r="L130" s="77"/>
      <c r="M130" s="77"/>
      <c r="N130" s="77"/>
    </row>
    <row r="131" ht="15.75" customHeight="1">
      <c r="A131" s="3"/>
      <c r="B131" s="115"/>
      <c r="C131" s="115"/>
      <c r="D131" s="115"/>
      <c r="E131" s="115"/>
      <c r="F131" s="115"/>
      <c r="G131" s="77"/>
      <c r="H131" s="77"/>
      <c r="I131" s="77"/>
      <c r="J131" s="77"/>
      <c r="K131" s="77"/>
      <c r="L131" s="77"/>
      <c r="M131" s="77"/>
      <c r="N131" s="77"/>
    </row>
    <row r="132" ht="15.75" customHeight="1">
      <c r="A132" s="3"/>
      <c r="B132" s="115"/>
      <c r="C132" s="115"/>
      <c r="D132" s="115"/>
      <c r="E132" s="115"/>
      <c r="F132" s="115"/>
      <c r="G132" s="77"/>
      <c r="H132" s="77"/>
      <c r="I132" s="77"/>
      <c r="J132" s="77"/>
      <c r="K132" s="77"/>
      <c r="L132" s="77"/>
      <c r="M132" s="77"/>
      <c r="N132" s="77"/>
    </row>
    <row r="133" ht="15.75" customHeight="1">
      <c r="A133" s="3"/>
      <c r="B133" s="115"/>
      <c r="C133" s="115"/>
      <c r="D133" s="115"/>
      <c r="E133" s="115"/>
      <c r="F133" s="115"/>
      <c r="G133" s="77"/>
      <c r="H133" s="77"/>
      <c r="I133" s="77"/>
      <c r="J133" s="77"/>
      <c r="K133" s="77"/>
      <c r="L133" s="77"/>
      <c r="M133" s="77"/>
      <c r="N133" s="77"/>
    </row>
    <row r="134" ht="15.75" customHeight="1">
      <c r="A134" s="3"/>
      <c r="B134" s="115"/>
      <c r="C134" s="115"/>
      <c r="D134" s="115"/>
      <c r="E134" s="115"/>
      <c r="F134" s="115"/>
      <c r="G134" s="77"/>
      <c r="H134" s="77"/>
      <c r="I134" s="77"/>
      <c r="J134" s="77"/>
      <c r="K134" s="77"/>
      <c r="L134" s="77"/>
      <c r="M134" s="77"/>
      <c r="N134" s="77"/>
    </row>
    <row r="135" ht="15.75" customHeight="1">
      <c r="A135" s="3"/>
      <c r="B135" s="115"/>
      <c r="C135" s="115"/>
      <c r="D135" s="115"/>
      <c r="E135" s="115"/>
      <c r="F135" s="115"/>
      <c r="G135" s="77"/>
      <c r="H135" s="77"/>
      <c r="I135" s="77"/>
      <c r="J135" s="77"/>
      <c r="K135" s="77"/>
      <c r="L135" s="77"/>
      <c r="M135" s="77"/>
      <c r="N135" s="77"/>
    </row>
    <row r="136" ht="15.75" customHeight="1">
      <c r="A136" s="3"/>
      <c r="B136" s="115"/>
      <c r="C136" s="115"/>
      <c r="D136" s="115"/>
      <c r="E136" s="115"/>
      <c r="F136" s="115"/>
      <c r="G136" s="77"/>
      <c r="H136" s="77"/>
      <c r="I136" s="77"/>
      <c r="J136" s="77"/>
      <c r="K136" s="77"/>
      <c r="L136" s="77"/>
      <c r="M136" s="77"/>
      <c r="N136" s="77"/>
    </row>
    <row r="137" ht="15.75" customHeight="1">
      <c r="A137" s="3"/>
      <c r="B137" s="115"/>
      <c r="C137" s="115"/>
      <c r="D137" s="115"/>
      <c r="E137" s="115"/>
      <c r="F137" s="115"/>
      <c r="G137" s="77"/>
      <c r="H137" s="77"/>
      <c r="I137" s="77"/>
      <c r="J137" s="77"/>
      <c r="K137" s="77"/>
      <c r="L137" s="77"/>
      <c r="M137" s="77"/>
      <c r="N137" s="77"/>
    </row>
    <row r="138" ht="15.75" customHeight="1">
      <c r="A138" s="3"/>
      <c r="B138" s="115"/>
      <c r="C138" s="115"/>
      <c r="D138" s="115"/>
      <c r="E138" s="115"/>
      <c r="F138" s="115"/>
      <c r="G138" s="77"/>
      <c r="H138" s="77"/>
      <c r="I138" s="77"/>
      <c r="J138" s="77"/>
      <c r="K138" s="77"/>
      <c r="L138" s="77"/>
      <c r="M138" s="77"/>
      <c r="N138" s="77"/>
    </row>
    <row r="139" ht="15.75" customHeight="1">
      <c r="A139" s="3"/>
      <c r="B139" s="115"/>
      <c r="C139" s="115"/>
      <c r="D139" s="115"/>
      <c r="E139" s="115"/>
      <c r="F139" s="115"/>
      <c r="G139" s="77"/>
      <c r="H139" s="77"/>
      <c r="I139" s="77"/>
      <c r="J139" s="77"/>
      <c r="K139" s="77"/>
      <c r="L139" s="77"/>
      <c r="M139" s="77"/>
      <c r="N139" s="77"/>
    </row>
    <row r="140" ht="15.75" customHeight="1">
      <c r="A140" s="3"/>
      <c r="B140" s="115"/>
      <c r="C140" s="115"/>
      <c r="D140" s="115"/>
      <c r="E140" s="115"/>
      <c r="F140" s="115"/>
      <c r="G140" s="77"/>
      <c r="H140" s="77"/>
      <c r="I140" s="77"/>
      <c r="J140" s="77"/>
      <c r="K140" s="77"/>
      <c r="L140" s="77"/>
      <c r="M140" s="77"/>
      <c r="N140" s="77"/>
    </row>
    <row r="141" ht="15.75" customHeight="1">
      <c r="A141" s="3"/>
      <c r="B141" s="115"/>
      <c r="C141" s="115"/>
      <c r="D141" s="115"/>
      <c r="E141" s="115"/>
      <c r="F141" s="115"/>
      <c r="G141" s="77"/>
      <c r="H141" s="77"/>
      <c r="I141" s="77"/>
      <c r="J141" s="77"/>
      <c r="K141" s="77"/>
      <c r="L141" s="77"/>
      <c r="M141" s="77"/>
      <c r="N141" s="77"/>
    </row>
    <row r="142" ht="15.75" customHeight="1">
      <c r="A142" s="3"/>
      <c r="B142" s="115"/>
      <c r="C142" s="115"/>
      <c r="D142" s="115"/>
      <c r="E142" s="115"/>
      <c r="F142" s="115"/>
      <c r="G142" s="77"/>
      <c r="H142" s="77"/>
      <c r="I142" s="77"/>
      <c r="J142" s="77"/>
      <c r="K142" s="77"/>
      <c r="L142" s="77"/>
      <c r="M142" s="77"/>
      <c r="N142" s="77"/>
    </row>
    <row r="143" ht="15.75" customHeight="1">
      <c r="A143" s="3"/>
      <c r="B143" s="115"/>
      <c r="C143" s="115"/>
      <c r="D143" s="115"/>
      <c r="E143" s="115"/>
      <c r="F143" s="115"/>
      <c r="G143" s="77"/>
      <c r="H143" s="77"/>
      <c r="I143" s="77"/>
      <c r="J143" s="77"/>
      <c r="K143" s="77"/>
      <c r="L143" s="77"/>
      <c r="M143" s="77"/>
      <c r="N143" s="77"/>
    </row>
    <row r="144" ht="15.75" customHeight="1">
      <c r="A144" s="3"/>
      <c r="B144" s="115"/>
      <c r="C144" s="115"/>
      <c r="D144" s="115"/>
      <c r="E144" s="115"/>
      <c r="F144" s="115"/>
      <c r="G144" s="77"/>
      <c r="H144" s="77"/>
      <c r="I144" s="77"/>
      <c r="J144" s="77"/>
      <c r="K144" s="77"/>
      <c r="L144" s="77"/>
      <c r="M144" s="77"/>
      <c r="N144" s="77"/>
    </row>
    <row r="145" ht="15.75" customHeight="1">
      <c r="A145" s="3"/>
      <c r="B145" s="115"/>
      <c r="C145" s="115"/>
      <c r="D145" s="115"/>
      <c r="E145" s="115"/>
      <c r="F145" s="115"/>
      <c r="G145" s="77"/>
      <c r="H145" s="77"/>
      <c r="I145" s="77"/>
      <c r="J145" s="77"/>
      <c r="K145" s="77"/>
      <c r="L145" s="77"/>
      <c r="M145" s="77"/>
      <c r="N145" s="77"/>
    </row>
    <row r="146" ht="15.75" customHeight="1">
      <c r="A146" s="3"/>
      <c r="B146" s="115"/>
      <c r="C146" s="115"/>
      <c r="D146" s="115"/>
      <c r="E146" s="115"/>
      <c r="F146" s="115"/>
      <c r="G146" s="77"/>
      <c r="H146" s="77"/>
      <c r="I146" s="77"/>
      <c r="J146" s="77"/>
      <c r="K146" s="77"/>
      <c r="L146" s="77"/>
      <c r="M146" s="77"/>
      <c r="N146" s="77"/>
    </row>
    <row r="147" ht="15.75" customHeight="1">
      <c r="A147" s="3"/>
      <c r="B147" s="115"/>
      <c r="C147" s="115"/>
      <c r="D147" s="115"/>
      <c r="E147" s="115"/>
      <c r="F147" s="115"/>
      <c r="G147" s="77"/>
      <c r="H147" s="77"/>
      <c r="I147" s="77"/>
      <c r="J147" s="77"/>
      <c r="K147" s="77"/>
      <c r="L147" s="77"/>
      <c r="M147" s="77"/>
      <c r="N147" s="77"/>
    </row>
    <row r="148" ht="15.75" customHeight="1">
      <c r="A148" s="3"/>
      <c r="B148" s="115"/>
      <c r="C148" s="115"/>
      <c r="D148" s="115"/>
      <c r="E148" s="115"/>
      <c r="F148" s="115"/>
      <c r="G148" s="77"/>
      <c r="H148" s="77"/>
      <c r="I148" s="77"/>
      <c r="J148" s="77"/>
      <c r="K148" s="77"/>
      <c r="L148" s="77"/>
      <c r="M148" s="77"/>
      <c r="N148" s="77"/>
    </row>
    <row r="149" ht="15.75" customHeight="1">
      <c r="A149" s="3"/>
      <c r="B149" s="115"/>
      <c r="C149" s="115"/>
      <c r="D149" s="115"/>
      <c r="E149" s="115"/>
      <c r="F149" s="115"/>
      <c r="G149" s="77"/>
      <c r="H149" s="77"/>
      <c r="I149" s="77"/>
      <c r="J149" s="77"/>
      <c r="K149" s="77"/>
      <c r="L149" s="77"/>
      <c r="M149" s="77"/>
      <c r="N149" s="77"/>
    </row>
    <row r="150" ht="15.75" customHeight="1">
      <c r="A150" s="3"/>
      <c r="B150" s="115"/>
      <c r="C150" s="115"/>
      <c r="D150" s="115"/>
      <c r="E150" s="115"/>
      <c r="F150" s="115"/>
      <c r="G150" s="77"/>
      <c r="H150" s="77"/>
      <c r="I150" s="77"/>
      <c r="J150" s="77"/>
      <c r="K150" s="77"/>
      <c r="L150" s="77"/>
      <c r="M150" s="77"/>
      <c r="N150" s="77"/>
    </row>
    <row r="151" ht="15.75" customHeight="1">
      <c r="A151" s="3"/>
      <c r="B151" s="115"/>
      <c r="C151" s="115"/>
      <c r="D151" s="115"/>
      <c r="E151" s="115"/>
      <c r="F151" s="115"/>
      <c r="G151" s="77"/>
      <c r="H151" s="77"/>
      <c r="I151" s="77"/>
      <c r="J151" s="77"/>
      <c r="K151" s="77"/>
      <c r="L151" s="77"/>
      <c r="M151" s="77"/>
      <c r="N151" s="77"/>
    </row>
    <row r="152" ht="15.75" customHeight="1">
      <c r="A152" s="3"/>
      <c r="B152" s="115"/>
      <c r="C152" s="115"/>
      <c r="D152" s="115"/>
      <c r="E152" s="115"/>
      <c r="F152" s="115"/>
      <c r="G152" s="77"/>
      <c r="H152" s="77"/>
      <c r="I152" s="77"/>
      <c r="J152" s="77"/>
      <c r="K152" s="77"/>
      <c r="L152" s="77"/>
      <c r="M152" s="77"/>
      <c r="N152" s="77"/>
    </row>
    <row r="153" ht="15.75" customHeight="1">
      <c r="A153" s="3"/>
      <c r="B153" s="115"/>
      <c r="C153" s="115"/>
      <c r="D153" s="115"/>
      <c r="E153" s="115"/>
      <c r="F153" s="115"/>
      <c r="G153" s="77"/>
      <c r="H153" s="77"/>
      <c r="I153" s="77"/>
      <c r="J153" s="77"/>
      <c r="K153" s="77"/>
      <c r="L153" s="77"/>
      <c r="M153" s="77"/>
      <c r="N153" s="77"/>
    </row>
    <row r="154" ht="15.75" customHeight="1">
      <c r="A154" s="3"/>
      <c r="B154" s="115"/>
      <c r="C154" s="115"/>
      <c r="D154" s="115"/>
      <c r="E154" s="115"/>
      <c r="F154" s="115"/>
      <c r="G154" s="77"/>
      <c r="H154" s="77"/>
      <c r="I154" s="77"/>
      <c r="J154" s="77"/>
      <c r="K154" s="77"/>
      <c r="L154" s="77"/>
      <c r="M154" s="77"/>
      <c r="N154" s="77"/>
    </row>
    <row r="155" ht="15.75" customHeight="1">
      <c r="A155" s="3"/>
      <c r="B155" s="115"/>
      <c r="C155" s="115"/>
      <c r="D155" s="115"/>
      <c r="E155" s="115"/>
      <c r="F155" s="115"/>
      <c r="G155" s="77"/>
      <c r="H155" s="77"/>
      <c r="I155" s="77"/>
      <c r="J155" s="77"/>
      <c r="K155" s="77"/>
      <c r="L155" s="77"/>
      <c r="M155" s="77"/>
      <c r="N155" s="77"/>
    </row>
    <row r="156" ht="15.75" customHeight="1">
      <c r="A156" s="3"/>
      <c r="B156" s="115"/>
      <c r="C156" s="115"/>
      <c r="D156" s="115"/>
      <c r="E156" s="115"/>
      <c r="F156" s="115"/>
      <c r="G156" s="77"/>
      <c r="H156" s="77"/>
      <c r="I156" s="77"/>
      <c r="J156" s="77"/>
      <c r="K156" s="77"/>
      <c r="L156" s="77"/>
      <c r="M156" s="77"/>
      <c r="N156" s="77"/>
    </row>
    <row r="157" ht="15.75" customHeight="1">
      <c r="A157" s="3"/>
      <c r="B157" s="115"/>
      <c r="C157" s="115"/>
      <c r="D157" s="115"/>
      <c r="E157" s="115"/>
      <c r="F157" s="115"/>
      <c r="G157" s="77"/>
      <c r="H157" s="77"/>
      <c r="I157" s="77"/>
      <c r="J157" s="77"/>
      <c r="K157" s="77"/>
      <c r="L157" s="77"/>
      <c r="M157" s="77"/>
      <c r="N157" s="77"/>
    </row>
    <row r="158" ht="15.75" customHeight="1">
      <c r="A158" s="3"/>
      <c r="B158" s="115"/>
      <c r="C158" s="115"/>
      <c r="D158" s="115"/>
      <c r="E158" s="115"/>
      <c r="F158" s="115"/>
      <c r="G158" s="77"/>
      <c r="H158" s="77"/>
      <c r="I158" s="77"/>
      <c r="J158" s="77"/>
      <c r="K158" s="77"/>
      <c r="L158" s="77"/>
      <c r="M158" s="77"/>
      <c r="N158" s="77"/>
    </row>
    <row r="159" ht="15.75" customHeight="1">
      <c r="A159" s="3"/>
      <c r="B159" s="115"/>
      <c r="C159" s="115"/>
      <c r="D159" s="115"/>
      <c r="E159" s="115"/>
      <c r="F159" s="115"/>
      <c r="G159" s="77"/>
      <c r="H159" s="77"/>
      <c r="I159" s="77"/>
      <c r="J159" s="77"/>
      <c r="K159" s="77"/>
      <c r="L159" s="77"/>
      <c r="M159" s="77"/>
      <c r="N159" s="77"/>
    </row>
    <row r="160" ht="15.75" customHeight="1">
      <c r="A160" s="3"/>
      <c r="B160" s="115"/>
      <c r="C160" s="115"/>
      <c r="D160" s="115"/>
      <c r="E160" s="115"/>
      <c r="F160" s="115"/>
      <c r="G160" s="77"/>
      <c r="H160" s="77"/>
      <c r="I160" s="77"/>
      <c r="J160" s="77"/>
      <c r="K160" s="77"/>
      <c r="L160" s="77"/>
      <c r="M160" s="77"/>
      <c r="N160" s="77"/>
    </row>
    <row r="161" ht="15.75" customHeight="1">
      <c r="A161" s="3"/>
      <c r="B161" s="115"/>
      <c r="C161" s="115"/>
      <c r="D161" s="115"/>
      <c r="E161" s="115"/>
      <c r="F161" s="115"/>
      <c r="G161" s="77"/>
      <c r="H161" s="77"/>
      <c r="I161" s="77"/>
      <c r="J161" s="77"/>
      <c r="K161" s="77"/>
      <c r="L161" s="77"/>
      <c r="M161" s="77"/>
      <c r="N161" s="77"/>
    </row>
    <row r="162" ht="15.75" customHeight="1">
      <c r="A162" s="3"/>
      <c r="B162" s="115"/>
      <c r="C162" s="115"/>
      <c r="D162" s="115"/>
      <c r="E162" s="115"/>
      <c r="F162" s="115"/>
      <c r="G162" s="77"/>
      <c r="H162" s="77"/>
      <c r="I162" s="77"/>
      <c r="J162" s="77"/>
      <c r="K162" s="77"/>
      <c r="L162" s="77"/>
      <c r="M162" s="77"/>
      <c r="N162" s="77"/>
    </row>
    <row r="163" ht="15.75" customHeight="1">
      <c r="A163" s="3"/>
      <c r="B163" s="115"/>
      <c r="C163" s="115"/>
      <c r="D163" s="115"/>
      <c r="E163" s="115"/>
      <c r="F163" s="115"/>
      <c r="G163" s="77"/>
      <c r="H163" s="77"/>
      <c r="I163" s="77"/>
      <c r="J163" s="77"/>
      <c r="K163" s="77"/>
      <c r="L163" s="77"/>
      <c r="M163" s="77"/>
      <c r="N163" s="77"/>
    </row>
    <row r="164" ht="15.75" customHeight="1">
      <c r="A164" s="3"/>
      <c r="B164" s="115"/>
      <c r="C164" s="115"/>
      <c r="D164" s="115"/>
      <c r="E164" s="115"/>
      <c r="F164" s="115"/>
      <c r="G164" s="77"/>
      <c r="H164" s="77"/>
      <c r="I164" s="77"/>
      <c r="J164" s="77"/>
      <c r="K164" s="77"/>
      <c r="L164" s="77"/>
      <c r="M164" s="77"/>
      <c r="N164" s="77"/>
    </row>
    <row r="165" ht="15.75" customHeight="1">
      <c r="A165" s="3"/>
      <c r="B165" s="115"/>
      <c r="C165" s="115"/>
      <c r="D165" s="115"/>
      <c r="E165" s="115"/>
      <c r="F165" s="115"/>
      <c r="G165" s="77"/>
      <c r="H165" s="77"/>
      <c r="I165" s="77"/>
      <c r="J165" s="77"/>
      <c r="K165" s="77"/>
      <c r="L165" s="77"/>
      <c r="M165" s="77"/>
      <c r="N165" s="77"/>
    </row>
    <row r="166" ht="15.75" customHeight="1">
      <c r="A166" s="3"/>
      <c r="B166" s="115"/>
      <c r="C166" s="115"/>
      <c r="D166" s="115"/>
      <c r="E166" s="115"/>
      <c r="F166" s="115"/>
      <c r="G166" s="77"/>
      <c r="H166" s="77"/>
      <c r="I166" s="77"/>
      <c r="J166" s="77"/>
      <c r="K166" s="77"/>
      <c r="L166" s="77"/>
      <c r="M166" s="77"/>
      <c r="N166" s="77"/>
    </row>
    <row r="167" ht="15.75" customHeight="1">
      <c r="A167" s="3"/>
      <c r="B167" s="115"/>
      <c r="C167" s="115"/>
      <c r="D167" s="115"/>
      <c r="E167" s="115"/>
      <c r="F167" s="115"/>
      <c r="G167" s="77"/>
      <c r="H167" s="77"/>
      <c r="I167" s="77"/>
      <c r="J167" s="77"/>
      <c r="K167" s="77"/>
      <c r="L167" s="77"/>
      <c r="M167" s="77"/>
      <c r="N167" s="77"/>
    </row>
    <row r="168" ht="15.75" customHeight="1">
      <c r="A168" s="3"/>
      <c r="B168" s="115"/>
      <c r="C168" s="115"/>
      <c r="D168" s="115"/>
      <c r="E168" s="115"/>
      <c r="F168" s="115"/>
      <c r="G168" s="77"/>
      <c r="H168" s="77"/>
      <c r="I168" s="77"/>
      <c r="J168" s="77"/>
      <c r="K168" s="77"/>
      <c r="L168" s="77"/>
      <c r="M168" s="77"/>
      <c r="N168" s="77"/>
    </row>
    <row r="169" ht="15.75" customHeight="1">
      <c r="A169" s="3"/>
      <c r="B169" s="115"/>
      <c r="C169" s="115"/>
      <c r="D169" s="115"/>
      <c r="E169" s="115"/>
      <c r="F169" s="115"/>
      <c r="G169" s="77"/>
      <c r="H169" s="77"/>
      <c r="I169" s="77"/>
      <c r="J169" s="77"/>
      <c r="K169" s="77"/>
      <c r="L169" s="77"/>
      <c r="M169" s="77"/>
      <c r="N169" s="77"/>
    </row>
    <row r="170" ht="15.75" customHeight="1">
      <c r="A170" s="3"/>
      <c r="B170" s="115"/>
      <c r="C170" s="115"/>
      <c r="D170" s="115"/>
      <c r="E170" s="115"/>
      <c r="F170" s="115"/>
      <c r="G170" s="77"/>
      <c r="H170" s="77"/>
      <c r="I170" s="77"/>
      <c r="J170" s="77"/>
      <c r="K170" s="77"/>
      <c r="L170" s="77"/>
      <c r="M170" s="77"/>
      <c r="N170" s="77"/>
    </row>
    <row r="171" ht="15.75" customHeight="1">
      <c r="A171" s="3"/>
      <c r="B171" s="115"/>
      <c r="C171" s="115"/>
      <c r="D171" s="115"/>
      <c r="E171" s="115"/>
      <c r="F171" s="115"/>
      <c r="G171" s="77"/>
      <c r="H171" s="77"/>
      <c r="I171" s="77"/>
      <c r="J171" s="77"/>
      <c r="K171" s="77"/>
      <c r="L171" s="77"/>
      <c r="M171" s="77"/>
      <c r="N171" s="77"/>
    </row>
    <row r="172" ht="15.75" customHeight="1">
      <c r="A172" s="3"/>
      <c r="B172" s="115"/>
      <c r="C172" s="115"/>
      <c r="D172" s="115"/>
      <c r="E172" s="115"/>
      <c r="F172" s="115"/>
      <c r="G172" s="77"/>
      <c r="H172" s="77"/>
      <c r="I172" s="77"/>
      <c r="J172" s="77"/>
      <c r="K172" s="77"/>
      <c r="L172" s="77"/>
      <c r="M172" s="77"/>
      <c r="N172" s="77"/>
    </row>
    <row r="173" ht="15.75" customHeight="1">
      <c r="A173" s="3"/>
      <c r="B173" s="115"/>
      <c r="C173" s="115"/>
      <c r="D173" s="115"/>
      <c r="E173" s="115"/>
      <c r="F173" s="115"/>
      <c r="G173" s="77"/>
      <c r="H173" s="77"/>
      <c r="I173" s="77"/>
      <c r="J173" s="77"/>
      <c r="K173" s="77"/>
      <c r="L173" s="77"/>
      <c r="M173" s="77"/>
      <c r="N173" s="77"/>
    </row>
    <row r="174" ht="15.75" customHeight="1">
      <c r="A174" s="3"/>
      <c r="B174" s="115"/>
      <c r="C174" s="115"/>
      <c r="D174" s="115"/>
      <c r="E174" s="115"/>
      <c r="F174" s="115"/>
      <c r="G174" s="77"/>
      <c r="H174" s="77"/>
      <c r="I174" s="77"/>
      <c r="J174" s="77"/>
      <c r="K174" s="77"/>
      <c r="L174" s="77"/>
      <c r="M174" s="77"/>
      <c r="N174" s="77"/>
    </row>
    <row r="175" ht="15.75" customHeight="1">
      <c r="A175" s="3"/>
      <c r="B175" s="115"/>
      <c r="C175" s="115"/>
      <c r="D175" s="115"/>
      <c r="E175" s="115"/>
      <c r="F175" s="115"/>
      <c r="G175" s="77"/>
      <c r="H175" s="77"/>
      <c r="I175" s="77"/>
      <c r="J175" s="77"/>
      <c r="K175" s="77"/>
      <c r="L175" s="77"/>
      <c r="M175" s="77"/>
      <c r="N175" s="77"/>
    </row>
    <row r="176" ht="15.75" customHeight="1">
      <c r="A176" s="3"/>
      <c r="B176" s="115"/>
      <c r="C176" s="115"/>
      <c r="D176" s="115"/>
      <c r="E176" s="115"/>
      <c r="F176" s="115"/>
      <c r="G176" s="77"/>
      <c r="H176" s="77"/>
      <c r="I176" s="77"/>
      <c r="J176" s="77"/>
      <c r="K176" s="77"/>
      <c r="L176" s="77"/>
      <c r="M176" s="77"/>
      <c r="N176" s="77"/>
    </row>
    <row r="177" ht="15.75" customHeight="1">
      <c r="A177" s="3"/>
      <c r="B177" s="115"/>
      <c r="C177" s="115"/>
      <c r="D177" s="115"/>
      <c r="E177" s="115"/>
      <c r="F177" s="115"/>
      <c r="G177" s="77"/>
      <c r="H177" s="77"/>
      <c r="I177" s="77"/>
      <c r="J177" s="77"/>
      <c r="K177" s="77"/>
      <c r="L177" s="77"/>
      <c r="M177" s="77"/>
      <c r="N177" s="77"/>
    </row>
    <row r="178" ht="15.75" customHeight="1">
      <c r="A178" s="3"/>
      <c r="B178" s="115"/>
      <c r="C178" s="115"/>
      <c r="D178" s="115"/>
      <c r="E178" s="115"/>
      <c r="F178" s="115"/>
      <c r="G178" s="77"/>
      <c r="H178" s="77"/>
      <c r="I178" s="77"/>
      <c r="J178" s="77"/>
      <c r="K178" s="77"/>
      <c r="L178" s="77"/>
      <c r="M178" s="77"/>
      <c r="N178" s="77"/>
    </row>
    <row r="179" ht="15.75" customHeight="1">
      <c r="A179" s="3"/>
      <c r="B179" s="115"/>
      <c r="C179" s="115"/>
      <c r="D179" s="115"/>
      <c r="E179" s="115"/>
      <c r="F179" s="115"/>
      <c r="G179" s="77"/>
      <c r="H179" s="77"/>
      <c r="I179" s="77"/>
      <c r="J179" s="77"/>
      <c r="K179" s="77"/>
      <c r="L179" s="77"/>
      <c r="M179" s="77"/>
      <c r="N179" s="77"/>
    </row>
    <row r="180" ht="15.75" customHeight="1">
      <c r="A180" s="3"/>
      <c r="B180" s="115"/>
      <c r="C180" s="115"/>
      <c r="D180" s="115"/>
      <c r="E180" s="115"/>
      <c r="F180" s="115"/>
      <c r="G180" s="77"/>
      <c r="H180" s="77"/>
      <c r="I180" s="77"/>
      <c r="J180" s="77"/>
      <c r="K180" s="77"/>
      <c r="L180" s="77"/>
      <c r="M180" s="77"/>
      <c r="N180" s="77"/>
    </row>
    <row r="181" ht="15.75" customHeight="1">
      <c r="A181" s="3"/>
      <c r="B181" s="115"/>
      <c r="C181" s="115"/>
      <c r="D181" s="115"/>
      <c r="E181" s="115"/>
      <c r="F181" s="115"/>
      <c r="G181" s="77"/>
      <c r="H181" s="77"/>
      <c r="I181" s="77"/>
      <c r="J181" s="77"/>
      <c r="K181" s="77"/>
      <c r="L181" s="77"/>
      <c r="M181" s="77"/>
      <c r="N181" s="77"/>
    </row>
    <row r="182" ht="15.75" customHeight="1">
      <c r="A182" s="3"/>
      <c r="B182" s="115"/>
      <c r="C182" s="115"/>
      <c r="D182" s="115"/>
      <c r="E182" s="115"/>
      <c r="F182" s="115"/>
      <c r="G182" s="77"/>
      <c r="H182" s="77"/>
      <c r="I182" s="77"/>
      <c r="J182" s="77"/>
      <c r="K182" s="77"/>
      <c r="L182" s="77"/>
      <c r="M182" s="77"/>
      <c r="N182" s="77"/>
    </row>
    <row r="183" ht="15.75" customHeight="1">
      <c r="A183" s="3"/>
      <c r="B183" s="115"/>
      <c r="C183" s="115"/>
      <c r="D183" s="115"/>
      <c r="E183" s="115"/>
      <c r="F183" s="115"/>
      <c r="G183" s="77"/>
      <c r="H183" s="77"/>
      <c r="I183" s="77"/>
      <c r="J183" s="77"/>
      <c r="K183" s="77"/>
      <c r="L183" s="77"/>
      <c r="M183" s="77"/>
      <c r="N183" s="77"/>
    </row>
    <row r="184" ht="15.75" customHeight="1">
      <c r="A184" s="3"/>
      <c r="B184" s="115"/>
      <c r="C184" s="115"/>
      <c r="D184" s="115"/>
      <c r="E184" s="115"/>
      <c r="F184" s="115"/>
      <c r="G184" s="77"/>
      <c r="H184" s="77"/>
      <c r="I184" s="77"/>
      <c r="J184" s="77"/>
      <c r="K184" s="77"/>
      <c r="L184" s="77"/>
      <c r="M184" s="77"/>
      <c r="N184" s="77"/>
    </row>
    <row r="185" ht="15.75" customHeight="1">
      <c r="A185" s="3"/>
      <c r="B185" s="115"/>
      <c r="C185" s="115"/>
      <c r="D185" s="115"/>
      <c r="E185" s="115"/>
      <c r="F185" s="115"/>
      <c r="G185" s="77"/>
      <c r="H185" s="77"/>
      <c r="I185" s="77"/>
      <c r="J185" s="77"/>
      <c r="K185" s="77"/>
      <c r="L185" s="77"/>
      <c r="M185" s="77"/>
      <c r="N185" s="77"/>
    </row>
    <row r="186" ht="15.75" customHeight="1">
      <c r="A186" s="3"/>
      <c r="B186" s="115"/>
      <c r="C186" s="115"/>
      <c r="D186" s="115"/>
      <c r="E186" s="115"/>
      <c r="F186" s="115"/>
      <c r="G186" s="77"/>
      <c r="H186" s="77"/>
      <c r="I186" s="77"/>
      <c r="J186" s="77"/>
      <c r="K186" s="77"/>
      <c r="L186" s="77"/>
      <c r="M186" s="77"/>
      <c r="N186" s="77"/>
    </row>
    <row r="187" ht="15.75" customHeight="1">
      <c r="A187" s="3"/>
      <c r="B187" s="115"/>
      <c r="C187" s="115"/>
      <c r="D187" s="115"/>
      <c r="E187" s="115"/>
      <c r="F187" s="115"/>
      <c r="G187" s="77"/>
      <c r="H187" s="77"/>
      <c r="I187" s="77"/>
      <c r="J187" s="77"/>
      <c r="K187" s="77"/>
      <c r="L187" s="77"/>
      <c r="M187" s="77"/>
      <c r="N187" s="77"/>
    </row>
    <row r="188" ht="15.75" customHeight="1">
      <c r="A188" s="3"/>
      <c r="B188" s="115"/>
      <c r="C188" s="115"/>
      <c r="D188" s="115"/>
      <c r="E188" s="115"/>
      <c r="F188" s="115"/>
      <c r="G188" s="77"/>
      <c r="H188" s="77"/>
      <c r="I188" s="77"/>
      <c r="J188" s="77"/>
      <c r="K188" s="77"/>
      <c r="L188" s="77"/>
      <c r="M188" s="77"/>
      <c r="N188" s="77"/>
    </row>
    <row r="189" ht="15.75" customHeight="1">
      <c r="A189" s="3"/>
      <c r="B189" s="115"/>
      <c r="C189" s="115"/>
      <c r="D189" s="115"/>
      <c r="E189" s="115"/>
      <c r="F189" s="115"/>
      <c r="G189" s="77"/>
      <c r="H189" s="77"/>
      <c r="I189" s="77"/>
      <c r="J189" s="77"/>
      <c r="K189" s="77"/>
      <c r="L189" s="77"/>
      <c r="M189" s="77"/>
      <c r="N189" s="77"/>
    </row>
    <row r="190" ht="15.75" customHeight="1">
      <c r="A190" s="3"/>
      <c r="B190" s="115"/>
      <c r="C190" s="115"/>
      <c r="D190" s="115"/>
      <c r="E190" s="115"/>
      <c r="F190" s="115"/>
      <c r="G190" s="77"/>
      <c r="H190" s="77"/>
      <c r="I190" s="77"/>
      <c r="J190" s="77"/>
      <c r="K190" s="77"/>
      <c r="L190" s="77"/>
      <c r="M190" s="77"/>
      <c r="N190" s="77"/>
    </row>
    <row r="191" ht="15.75" customHeight="1">
      <c r="A191" s="3"/>
      <c r="B191" s="115"/>
      <c r="C191" s="115"/>
      <c r="D191" s="115"/>
      <c r="E191" s="115"/>
      <c r="F191" s="115"/>
      <c r="G191" s="77"/>
      <c r="H191" s="77"/>
      <c r="I191" s="77"/>
      <c r="J191" s="77"/>
      <c r="K191" s="77"/>
      <c r="L191" s="77"/>
      <c r="M191" s="77"/>
      <c r="N191" s="77"/>
    </row>
    <row r="192" ht="15.75" customHeight="1">
      <c r="A192" s="3"/>
      <c r="B192" s="115"/>
      <c r="C192" s="115"/>
      <c r="D192" s="115"/>
      <c r="E192" s="115"/>
      <c r="F192" s="115"/>
      <c r="G192" s="77"/>
      <c r="H192" s="77"/>
      <c r="I192" s="77"/>
      <c r="J192" s="77"/>
      <c r="K192" s="77"/>
      <c r="L192" s="77"/>
      <c r="M192" s="77"/>
      <c r="N192" s="77"/>
    </row>
    <row r="193" ht="15.75" customHeight="1">
      <c r="A193" s="3"/>
      <c r="B193" s="115"/>
      <c r="C193" s="115"/>
      <c r="D193" s="115"/>
      <c r="E193" s="115"/>
      <c r="F193" s="115"/>
      <c r="G193" s="77"/>
      <c r="H193" s="77"/>
      <c r="I193" s="77"/>
      <c r="J193" s="77"/>
      <c r="K193" s="77"/>
      <c r="L193" s="77"/>
      <c r="M193" s="77"/>
      <c r="N193" s="77"/>
    </row>
    <row r="194" ht="15.75" customHeight="1">
      <c r="A194" s="3"/>
      <c r="B194" s="115"/>
      <c r="C194" s="115"/>
      <c r="D194" s="115"/>
      <c r="E194" s="115"/>
      <c r="F194" s="115"/>
      <c r="G194" s="77"/>
      <c r="H194" s="77"/>
      <c r="I194" s="77"/>
      <c r="J194" s="77"/>
      <c r="K194" s="77"/>
      <c r="L194" s="77"/>
      <c r="M194" s="77"/>
      <c r="N194" s="77"/>
    </row>
    <row r="195" ht="15.75" customHeight="1">
      <c r="A195" s="3"/>
      <c r="B195" s="115"/>
      <c r="C195" s="115"/>
      <c r="D195" s="115"/>
      <c r="E195" s="115"/>
      <c r="F195" s="115"/>
      <c r="G195" s="77"/>
      <c r="H195" s="77"/>
      <c r="I195" s="77"/>
      <c r="J195" s="77"/>
      <c r="K195" s="77"/>
      <c r="L195" s="77"/>
      <c r="M195" s="77"/>
      <c r="N195" s="77"/>
    </row>
    <row r="196" ht="15.75" customHeight="1">
      <c r="A196" s="3"/>
      <c r="B196" s="115"/>
      <c r="C196" s="115"/>
      <c r="D196" s="115"/>
      <c r="E196" s="115"/>
      <c r="F196" s="115"/>
      <c r="G196" s="77"/>
      <c r="H196" s="77"/>
      <c r="I196" s="77"/>
      <c r="J196" s="77"/>
      <c r="K196" s="77"/>
      <c r="L196" s="77"/>
      <c r="M196" s="77"/>
      <c r="N196" s="77"/>
    </row>
    <row r="197" ht="15.75" customHeight="1">
      <c r="A197" s="3"/>
      <c r="B197" s="115"/>
      <c r="C197" s="115"/>
      <c r="D197" s="115"/>
      <c r="E197" s="115"/>
      <c r="F197" s="115"/>
      <c r="G197" s="77"/>
      <c r="H197" s="77"/>
      <c r="I197" s="77"/>
      <c r="J197" s="77"/>
      <c r="K197" s="77"/>
      <c r="L197" s="77"/>
      <c r="M197" s="77"/>
      <c r="N197" s="77"/>
    </row>
    <row r="198" ht="15.75" customHeight="1">
      <c r="A198" s="3"/>
      <c r="B198" s="115"/>
      <c r="C198" s="115"/>
      <c r="D198" s="115"/>
      <c r="E198" s="115"/>
      <c r="F198" s="115"/>
      <c r="G198" s="77"/>
      <c r="H198" s="77"/>
      <c r="I198" s="77"/>
      <c r="J198" s="77"/>
      <c r="K198" s="77"/>
      <c r="L198" s="77"/>
      <c r="M198" s="77"/>
      <c r="N198" s="77"/>
    </row>
    <row r="199" ht="15.75" customHeight="1">
      <c r="A199" s="3"/>
      <c r="B199" s="115"/>
      <c r="C199" s="115"/>
      <c r="D199" s="115"/>
      <c r="E199" s="115"/>
      <c r="F199" s="115"/>
      <c r="G199" s="77"/>
      <c r="H199" s="77"/>
      <c r="I199" s="77"/>
      <c r="J199" s="77"/>
      <c r="K199" s="77"/>
      <c r="L199" s="77"/>
      <c r="M199" s="77"/>
      <c r="N199" s="77"/>
    </row>
    <row r="200" ht="15.75" customHeight="1">
      <c r="A200" s="3"/>
      <c r="B200" s="115"/>
      <c r="C200" s="115"/>
      <c r="D200" s="115"/>
      <c r="E200" s="115"/>
      <c r="F200" s="115"/>
      <c r="G200" s="77"/>
      <c r="H200" s="77"/>
      <c r="I200" s="77"/>
      <c r="J200" s="77"/>
      <c r="K200" s="77"/>
      <c r="L200" s="77"/>
      <c r="M200" s="77"/>
      <c r="N200" s="77"/>
    </row>
    <row r="201" ht="15.75" customHeight="1">
      <c r="A201" s="3"/>
      <c r="B201" s="115"/>
      <c r="C201" s="115"/>
      <c r="D201" s="115"/>
      <c r="E201" s="115"/>
      <c r="F201" s="115"/>
      <c r="G201" s="77"/>
      <c r="H201" s="77"/>
      <c r="I201" s="77"/>
      <c r="J201" s="77"/>
      <c r="K201" s="77"/>
      <c r="L201" s="77"/>
      <c r="M201" s="77"/>
      <c r="N201" s="77"/>
    </row>
    <row r="202" ht="15.75" customHeight="1">
      <c r="A202" s="3"/>
      <c r="B202" s="115"/>
      <c r="C202" s="115"/>
      <c r="D202" s="115"/>
      <c r="E202" s="115"/>
      <c r="F202" s="115"/>
      <c r="G202" s="77"/>
      <c r="H202" s="77"/>
      <c r="I202" s="77"/>
      <c r="J202" s="77"/>
      <c r="K202" s="77"/>
      <c r="L202" s="77"/>
      <c r="M202" s="77"/>
      <c r="N202" s="77"/>
    </row>
    <row r="203" ht="15.75" customHeight="1">
      <c r="A203" s="3"/>
      <c r="B203" s="115"/>
      <c r="C203" s="115"/>
      <c r="D203" s="115"/>
      <c r="E203" s="115"/>
      <c r="F203" s="115"/>
      <c r="G203" s="77"/>
      <c r="H203" s="77"/>
      <c r="I203" s="77"/>
      <c r="J203" s="77"/>
      <c r="K203" s="77"/>
      <c r="L203" s="77"/>
      <c r="M203" s="77"/>
      <c r="N203" s="77"/>
    </row>
    <row r="204" ht="15.75" customHeight="1">
      <c r="A204" s="3"/>
      <c r="B204" s="115"/>
      <c r="C204" s="115"/>
      <c r="D204" s="115"/>
      <c r="E204" s="115"/>
      <c r="F204" s="115"/>
      <c r="G204" s="77"/>
      <c r="H204" s="77"/>
      <c r="I204" s="77"/>
      <c r="J204" s="77"/>
      <c r="K204" s="77"/>
      <c r="L204" s="77"/>
      <c r="M204" s="77"/>
      <c r="N204" s="77"/>
    </row>
    <row r="205" ht="15.75" customHeight="1">
      <c r="A205" s="3"/>
      <c r="B205" s="115"/>
      <c r="C205" s="115"/>
      <c r="D205" s="115"/>
      <c r="E205" s="115"/>
      <c r="F205" s="115"/>
      <c r="G205" s="77"/>
      <c r="H205" s="77"/>
      <c r="I205" s="77"/>
      <c r="J205" s="77"/>
      <c r="K205" s="77"/>
      <c r="L205" s="77"/>
      <c r="M205" s="77"/>
      <c r="N205" s="77"/>
    </row>
    <row r="206" ht="15.75" customHeight="1">
      <c r="A206" s="3"/>
      <c r="B206" s="115"/>
      <c r="C206" s="115"/>
      <c r="D206" s="115"/>
      <c r="E206" s="115"/>
      <c r="F206" s="115"/>
      <c r="G206" s="77"/>
      <c r="H206" s="77"/>
      <c r="I206" s="77"/>
      <c r="J206" s="77"/>
      <c r="K206" s="77"/>
      <c r="L206" s="77"/>
      <c r="M206" s="77"/>
      <c r="N206" s="77"/>
    </row>
    <row r="207" ht="15.75" customHeight="1">
      <c r="A207" s="3"/>
      <c r="B207" s="115"/>
      <c r="C207" s="115"/>
      <c r="D207" s="115"/>
      <c r="E207" s="115"/>
      <c r="F207" s="115"/>
      <c r="G207" s="77"/>
      <c r="H207" s="77"/>
      <c r="I207" s="77"/>
      <c r="J207" s="77"/>
      <c r="K207" s="77"/>
      <c r="L207" s="77"/>
      <c r="M207" s="77"/>
      <c r="N207" s="77"/>
    </row>
    <row r="208" ht="15.75" customHeight="1">
      <c r="A208" s="3"/>
      <c r="B208" s="115"/>
      <c r="C208" s="115"/>
      <c r="D208" s="115"/>
      <c r="E208" s="115"/>
      <c r="F208" s="115"/>
      <c r="G208" s="77"/>
      <c r="H208" s="77"/>
      <c r="I208" s="77"/>
      <c r="J208" s="77"/>
      <c r="K208" s="77"/>
      <c r="L208" s="77"/>
      <c r="M208" s="77"/>
      <c r="N208" s="77"/>
    </row>
    <row r="209" ht="15.75" customHeight="1">
      <c r="A209" s="3"/>
      <c r="B209" s="115"/>
      <c r="C209" s="115"/>
      <c r="D209" s="115"/>
      <c r="E209" s="115"/>
      <c r="F209" s="115"/>
      <c r="G209" s="77"/>
      <c r="H209" s="77"/>
      <c r="I209" s="77"/>
      <c r="J209" s="77"/>
      <c r="K209" s="77"/>
      <c r="L209" s="77"/>
      <c r="M209" s="77"/>
      <c r="N209" s="77"/>
    </row>
    <row r="210" ht="15.75" customHeight="1">
      <c r="A210" s="3"/>
      <c r="B210" s="115"/>
      <c r="C210" s="115"/>
      <c r="D210" s="115"/>
      <c r="E210" s="115"/>
      <c r="F210" s="115"/>
      <c r="G210" s="77"/>
      <c r="H210" s="77"/>
      <c r="I210" s="77"/>
      <c r="J210" s="77"/>
      <c r="K210" s="77"/>
      <c r="L210" s="77"/>
      <c r="M210" s="77"/>
      <c r="N210" s="77"/>
    </row>
    <row r="211" ht="15.75" customHeight="1">
      <c r="A211" s="3"/>
      <c r="B211" s="115"/>
      <c r="C211" s="115"/>
      <c r="D211" s="115"/>
      <c r="E211" s="115"/>
      <c r="F211" s="115"/>
      <c r="G211" s="77"/>
      <c r="H211" s="77"/>
      <c r="I211" s="77"/>
      <c r="J211" s="77"/>
      <c r="K211" s="77"/>
      <c r="L211" s="77"/>
      <c r="M211" s="77"/>
      <c r="N211" s="77"/>
    </row>
    <row r="212" ht="15.75" customHeight="1">
      <c r="A212" s="3"/>
      <c r="B212" s="115"/>
      <c r="C212" s="115"/>
      <c r="D212" s="115"/>
      <c r="E212" s="115"/>
      <c r="F212" s="115"/>
      <c r="G212" s="77"/>
      <c r="H212" s="77"/>
      <c r="I212" s="77"/>
      <c r="J212" s="77"/>
      <c r="K212" s="77"/>
      <c r="L212" s="77"/>
      <c r="M212" s="77"/>
      <c r="N212" s="77"/>
    </row>
    <row r="213" ht="15.75" customHeight="1">
      <c r="A213" s="3"/>
      <c r="B213" s="115"/>
      <c r="C213" s="115"/>
      <c r="D213" s="115"/>
      <c r="E213" s="115"/>
      <c r="F213" s="115"/>
      <c r="G213" s="77"/>
      <c r="H213" s="77"/>
      <c r="I213" s="77"/>
      <c r="J213" s="77"/>
      <c r="K213" s="77"/>
      <c r="L213" s="77"/>
      <c r="M213" s="77"/>
      <c r="N213" s="77"/>
    </row>
    <row r="214" ht="15.75" customHeight="1">
      <c r="A214" s="3"/>
      <c r="B214" s="115"/>
      <c r="C214" s="115"/>
      <c r="D214" s="115"/>
      <c r="E214" s="115"/>
      <c r="F214" s="115"/>
      <c r="G214" s="77"/>
      <c r="H214" s="77"/>
      <c r="I214" s="77"/>
      <c r="J214" s="77"/>
      <c r="K214" s="77"/>
      <c r="L214" s="77"/>
      <c r="M214" s="77"/>
      <c r="N214" s="77"/>
    </row>
    <row r="215" ht="15.75" customHeight="1">
      <c r="A215" s="3"/>
      <c r="B215" s="115"/>
      <c r="C215" s="115"/>
      <c r="D215" s="115"/>
      <c r="E215" s="115"/>
      <c r="F215" s="115"/>
      <c r="G215" s="77"/>
      <c r="H215" s="77"/>
      <c r="I215" s="77"/>
      <c r="J215" s="77"/>
      <c r="K215" s="77"/>
      <c r="L215" s="77"/>
      <c r="M215" s="77"/>
      <c r="N215" s="77"/>
    </row>
    <row r="216" ht="15.75" customHeight="1">
      <c r="A216" s="3"/>
      <c r="B216" s="115"/>
      <c r="C216" s="115"/>
      <c r="D216" s="115"/>
      <c r="E216" s="115"/>
      <c r="F216" s="115"/>
      <c r="G216" s="77"/>
      <c r="H216" s="77"/>
      <c r="I216" s="77"/>
      <c r="J216" s="77"/>
      <c r="K216" s="77"/>
      <c r="L216" s="77"/>
      <c r="M216" s="77"/>
      <c r="N216" s="77"/>
    </row>
    <row r="217" ht="15.75" customHeight="1">
      <c r="A217" s="3"/>
      <c r="B217" s="115"/>
      <c r="C217" s="115"/>
      <c r="D217" s="115"/>
      <c r="E217" s="115"/>
      <c r="F217" s="115"/>
      <c r="G217" s="77"/>
      <c r="H217" s="77"/>
      <c r="I217" s="77"/>
      <c r="J217" s="77"/>
      <c r="K217" s="77"/>
      <c r="L217" s="77"/>
      <c r="M217" s="77"/>
      <c r="N217" s="77"/>
    </row>
    <row r="218" ht="15.75" customHeight="1">
      <c r="A218" s="3"/>
      <c r="B218" s="115"/>
      <c r="C218" s="115"/>
      <c r="D218" s="115"/>
      <c r="E218" s="115"/>
      <c r="F218" s="115"/>
      <c r="G218" s="77"/>
      <c r="H218" s="77"/>
      <c r="I218" s="77"/>
      <c r="J218" s="77"/>
      <c r="K218" s="77"/>
      <c r="L218" s="77"/>
      <c r="M218" s="77"/>
      <c r="N218" s="77"/>
    </row>
    <row r="219" ht="15.75" customHeight="1">
      <c r="A219" s="3"/>
      <c r="B219" s="115"/>
      <c r="C219" s="115"/>
      <c r="D219" s="115"/>
      <c r="E219" s="115"/>
      <c r="F219" s="115"/>
      <c r="G219" s="77"/>
      <c r="H219" s="77"/>
      <c r="I219" s="77"/>
      <c r="J219" s="77"/>
      <c r="K219" s="77"/>
      <c r="L219" s="77"/>
      <c r="M219" s="77"/>
      <c r="N219" s="77"/>
    </row>
    <row r="220" ht="15.75" customHeight="1">
      <c r="A220" s="3"/>
      <c r="B220" s="115"/>
      <c r="C220" s="115"/>
      <c r="D220" s="115"/>
      <c r="E220" s="115"/>
      <c r="F220" s="115"/>
      <c r="G220" s="77"/>
      <c r="H220" s="77"/>
      <c r="I220" s="77"/>
      <c r="J220" s="77"/>
      <c r="K220" s="77"/>
      <c r="L220" s="77"/>
      <c r="M220" s="77"/>
      <c r="N220" s="77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579A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88"/>
    <col customWidth="1" min="2" max="6" width="12.63"/>
  </cols>
  <sheetData>
    <row r="1" ht="15.75" customHeight="1">
      <c r="A1" s="187" t="s">
        <v>80</v>
      </c>
      <c r="B1" s="179" t="s">
        <v>57</v>
      </c>
      <c r="C1" s="179" t="s">
        <v>59</v>
      </c>
      <c r="D1" s="179" t="s">
        <v>61</v>
      </c>
      <c r="E1" s="179" t="s">
        <v>63</v>
      </c>
      <c r="F1" s="179" t="s">
        <v>65</v>
      </c>
      <c r="G1" s="179" t="s">
        <v>67</v>
      </c>
      <c r="H1" s="179" t="s">
        <v>69</v>
      </c>
      <c r="I1" s="179" t="s">
        <v>71</v>
      </c>
      <c r="J1" s="179" t="s">
        <v>73</v>
      </c>
      <c r="K1" s="179" t="s">
        <v>75</v>
      </c>
      <c r="L1" s="179" t="s">
        <v>77</v>
      </c>
      <c r="M1" s="179" t="s">
        <v>79</v>
      </c>
      <c r="N1" s="179" t="s">
        <v>269</v>
      </c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90"/>
      <c r="Z1" s="90"/>
    </row>
    <row r="2" ht="15.75" customHeight="1">
      <c r="A2" s="188" t="s">
        <v>395</v>
      </c>
      <c r="B2" s="115"/>
      <c r="C2" s="115"/>
      <c r="D2" s="115"/>
      <c r="E2" s="115"/>
      <c r="F2" s="115"/>
      <c r="G2" s="77"/>
      <c r="H2" s="77"/>
      <c r="I2" s="77"/>
      <c r="J2" s="77"/>
      <c r="K2" s="77"/>
      <c r="L2" s="77"/>
      <c r="M2" s="77"/>
      <c r="N2" s="77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5.75" customHeight="1">
      <c r="A3" s="116" t="s">
        <v>49</v>
      </c>
      <c r="B3" s="159">
        <f>'4. Revenue and Volume '!D21</f>
        <v>170131.7678</v>
      </c>
      <c r="C3" s="159">
        <f>'4. Revenue and Volume '!E21</f>
        <v>177636.4064</v>
      </c>
      <c r="D3" s="159">
        <f>'4. Revenue and Volume '!F21</f>
        <v>188692.4078</v>
      </c>
      <c r="E3" s="159">
        <f>'4. Revenue and Volume '!G21</f>
        <v>233110.5692</v>
      </c>
      <c r="F3" s="159">
        <f>'4. Revenue and Volume '!H21</f>
        <v>210804.4105</v>
      </c>
      <c r="G3" s="159">
        <f>'4. Revenue and Volume '!I21</f>
        <v>227187.456</v>
      </c>
      <c r="H3" s="159">
        <f>'4. Revenue and Volume '!J21</f>
        <v>295571.5015</v>
      </c>
      <c r="I3" s="159">
        <f>'4. Revenue and Volume '!K21</f>
        <v>311954.547</v>
      </c>
      <c r="J3" s="159">
        <f>'4. Revenue and Volume '!L21</f>
        <v>271009.5484</v>
      </c>
      <c r="K3" s="159">
        <f>'4. Revenue and Volume '!M21</f>
        <v>282065.5498</v>
      </c>
      <c r="L3" s="159">
        <f>'4. Revenue and Volume '!N21</f>
        <v>293121.5512</v>
      </c>
      <c r="M3" s="159">
        <f>'4. Revenue and Volume '!O21</f>
        <v>337453.5144</v>
      </c>
      <c r="N3" s="77">
        <f t="shared" ref="N3:N15" si="1">SUM(B3:M3)</f>
        <v>2998739.23</v>
      </c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5.75" customHeight="1">
      <c r="A4" s="90" t="s">
        <v>116</v>
      </c>
      <c r="B4" s="159">
        <f>SUM('4. Revenue and Volume '!D22:D23)</f>
        <v>7070.032275</v>
      </c>
      <c r="C4" s="159">
        <f>SUM('4. Revenue and Volume '!E22:E23)</f>
        <v>7070.032275</v>
      </c>
      <c r="D4" s="159">
        <f>SUM('4. Revenue and Volume '!F22:F23)</f>
        <v>7396.306329</v>
      </c>
      <c r="E4" s="159">
        <f>SUM('4. Revenue and Volume '!G22:G23)</f>
        <v>7391.404955</v>
      </c>
      <c r="F4" s="159">
        <f>SUM('4. Revenue and Volume '!H22:H23)</f>
        <v>7387.116253</v>
      </c>
      <c r="G4" s="159">
        <f>SUM('4. Revenue and Volume '!I22:I23)</f>
        <v>7730.955232</v>
      </c>
      <c r="H4" s="159">
        <f>SUM('4. Revenue and Volume '!J22:J23)</f>
        <v>7718.019513</v>
      </c>
      <c r="I4" s="159">
        <f>SUM('4. Revenue and Volume '!K22:K23)</f>
        <v>7723.838157</v>
      </c>
      <c r="J4" s="159">
        <f>SUM('4. Revenue and Volume '!L22:L23)</f>
        <v>8015.970226</v>
      </c>
      <c r="K4" s="159">
        <f>SUM('4. Revenue and Volume '!M22:M23)</f>
        <v>8029.555529</v>
      </c>
      <c r="L4" s="159">
        <f>SUM('4. Revenue and Volume '!N22:N23)</f>
        <v>8020.407214</v>
      </c>
      <c r="M4" s="159">
        <f>SUM('4. Revenue and Volume '!O22:O23)</f>
        <v>8326.061782</v>
      </c>
      <c r="N4" s="77">
        <f t="shared" si="1"/>
        <v>91879.69974</v>
      </c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5.75" customHeight="1">
      <c r="A5" s="90" t="s">
        <v>117</v>
      </c>
      <c r="B5" s="180">
        <f t="shared" ref="B5:M5" si="2">B3-B4</f>
        <v>163061.7355</v>
      </c>
      <c r="C5" s="180">
        <f t="shared" si="2"/>
        <v>170566.3741</v>
      </c>
      <c r="D5" s="180">
        <f t="shared" si="2"/>
        <v>181296.1015</v>
      </c>
      <c r="E5" s="180">
        <f t="shared" si="2"/>
        <v>225719.1642</v>
      </c>
      <c r="F5" s="180">
        <f t="shared" si="2"/>
        <v>203417.2943</v>
      </c>
      <c r="G5" s="180">
        <f t="shared" si="2"/>
        <v>219456.5008</v>
      </c>
      <c r="H5" s="180">
        <f t="shared" si="2"/>
        <v>287853.482</v>
      </c>
      <c r="I5" s="180">
        <f t="shared" si="2"/>
        <v>304230.7089</v>
      </c>
      <c r="J5" s="180">
        <f t="shared" si="2"/>
        <v>262993.5782</v>
      </c>
      <c r="K5" s="180">
        <f t="shared" si="2"/>
        <v>274035.9943</v>
      </c>
      <c r="L5" s="180">
        <f t="shared" si="2"/>
        <v>285101.1439</v>
      </c>
      <c r="M5" s="180">
        <f t="shared" si="2"/>
        <v>329127.4526</v>
      </c>
      <c r="N5" s="181">
        <f t="shared" si="1"/>
        <v>2906859.53</v>
      </c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5.75" customHeight="1">
      <c r="A6" s="116" t="s">
        <v>118</v>
      </c>
      <c r="B6" s="159">
        <f>'6. OpEx and CapEx'!B3+'6. OpEx and CapEx'!B8+'6. OpEx and CapEx'!B9+'6. OpEx and CapEx'!B10</f>
        <v>56175.63315</v>
      </c>
      <c r="C6" s="159">
        <f>'6. OpEx and CapEx'!C3+'6. OpEx and CapEx'!C8+'6. OpEx and CapEx'!C9+'6. OpEx and CapEx'!C10</f>
        <v>67256.39981</v>
      </c>
      <c r="D6" s="159">
        <f>'6. OpEx and CapEx'!D3+'6. OpEx and CapEx'!D8+'6. OpEx and CapEx'!D9+'6. OpEx and CapEx'!D10</f>
        <v>69823.9904</v>
      </c>
      <c r="E6" s="159">
        <f>'6. OpEx and CapEx'!E3+'6. OpEx and CapEx'!E8+'6. OpEx and CapEx'!E9+'6. OpEx and CapEx'!E10</f>
        <v>71633.9552</v>
      </c>
      <c r="F6" s="159">
        <f>'6. OpEx and CapEx'!F3+'6. OpEx and CapEx'!F8+'6. OpEx and CapEx'!F9+'6. OpEx and CapEx'!F10</f>
        <v>71442.1904</v>
      </c>
      <c r="G6" s="159">
        <f>'6. OpEx and CapEx'!G3+'6. OpEx and CapEx'!G8+'6. OpEx and CapEx'!G9+'6. OpEx and CapEx'!G10</f>
        <v>75294.02629</v>
      </c>
      <c r="H6" s="159">
        <f>'6. OpEx and CapEx'!H3+'6. OpEx and CapEx'!H8+'6. OpEx and CapEx'!H9+'6. OpEx and CapEx'!H10</f>
        <v>92203.57296</v>
      </c>
      <c r="I6" s="159">
        <f>'6. OpEx and CapEx'!I3+'6. OpEx and CapEx'!I8+'6. OpEx and CapEx'!I9+'6. OpEx and CapEx'!I10</f>
        <v>93417.67296</v>
      </c>
      <c r="J6" s="159">
        <f>'6. OpEx and CapEx'!J3+'6. OpEx and CapEx'!J8+'6. OpEx and CapEx'!J9+'6. OpEx and CapEx'!J10</f>
        <v>90029.00707</v>
      </c>
      <c r="K6" s="159">
        <f>'6. OpEx and CapEx'!K3+'6. OpEx and CapEx'!K8+'6. OpEx and CapEx'!K9+'6. OpEx and CapEx'!K10</f>
        <v>90838.10707</v>
      </c>
      <c r="L6" s="159">
        <f>'6. OpEx and CapEx'!L3+'6. OpEx and CapEx'!L8+'6. OpEx and CapEx'!L9+'6. OpEx and CapEx'!L10</f>
        <v>91647.20707</v>
      </c>
      <c r="M6" s="159">
        <f>'6. OpEx and CapEx'!M3+'6. OpEx and CapEx'!M8+'6. OpEx and CapEx'!M9+'6. OpEx and CapEx'!M10</f>
        <v>92604.84481</v>
      </c>
      <c r="N6" s="77">
        <f t="shared" si="1"/>
        <v>962366.6072</v>
      </c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5.75" customHeight="1">
      <c r="A7" s="116" t="s">
        <v>119</v>
      </c>
      <c r="B7" s="180">
        <f t="shared" ref="B7:M7" si="3">B5-B6</f>
        <v>106886.1024</v>
      </c>
      <c r="C7" s="180">
        <f t="shared" si="3"/>
        <v>103309.9743</v>
      </c>
      <c r="D7" s="180">
        <f t="shared" si="3"/>
        <v>111472.1111</v>
      </c>
      <c r="E7" s="180">
        <f t="shared" si="3"/>
        <v>154085.209</v>
      </c>
      <c r="F7" s="180">
        <f t="shared" si="3"/>
        <v>131975.1039</v>
      </c>
      <c r="G7" s="180">
        <f t="shared" si="3"/>
        <v>144162.4745</v>
      </c>
      <c r="H7" s="180">
        <f t="shared" si="3"/>
        <v>195649.9091</v>
      </c>
      <c r="I7" s="180">
        <f t="shared" si="3"/>
        <v>210813.0359</v>
      </c>
      <c r="J7" s="180">
        <f t="shared" si="3"/>
        <v>172964.5711</v>
      </c>
      <c r="K7" s="180">
        <f t="shared" si="3"/>
        <v>183197.8872</v>
      </c>
      <c r="L7" s="180">
        <f t="shared" si="3"/>
        <v>193453.9369</v>
      </c>
      <c r="M7" s="180">
        <f t="shared" si="3"/>
        <v>236522.6078</v>
      </c>
      <c r="N7" s="181">
        <f t="shared" si="1"/>
        <v>1944492.923</v>
      </c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5.75" customHeight="1">
      <c r="A8" s="116" t="s">
        <v>120</v>
      </c>
      <c r="B8" s="159">
        <f>'6. OpEx and CapEx'!B21-B6</f>
        <v>96407.29417</v>
      </c>
      <c r="C8" s="159">
        <f>'6. OpEx and CapEx'!C21-C6</f>
        <v>124418.7606</v>
      </c>
      <c r="D8" s="159">
        <f>'6. OpEx and CapEx'!D21-D6</f>
        <v>108958.2206</v>
      </c>
      <c r="E8" s="159">
        <f>'6. OpEx and CapEx'!E21-E6</f>
        <v>109111.0506</v>
      </c>
      <c r="F8" s="159">
        <f>'6. OpEx and CapEx'!F21-F6</f>
        <v>109263.8806</v>
      </c>
      <c r="G8" s="159">
        <f>'6. OpEx and CapEx'!G21-G6</f>
        <v>111573.1556</v>
      </c>
      <c r="H8" s="159">
        <f>'6. OpEx and CapEx'!H21-H6</f>
        <v>121495.3971</v>
      </c>
      <c r="I8" s="159">
        <f>'6. OpEx and CapEx'!I21-I6</f>
        <v>112474.7271</v>
      </c>
      <c r="J8" s="159">
        <f>'6. OpEx and CapEx'!J21-J6</f>
        <v>110547.6121</v>
      </c>
      <c r="K8" s="159">
        <f>'6. OpEx and CapEx'!K21-K6</f>
        <v>110700.4421</v>
      </c>
      <c r="L8" s="159">
        <f>'6. OpEx and CapEx'!L21-L6</f>
        <v>110853.2721</v>
      </c>
      <c r="M8" s="159">
        <f>'6. OpEx and CapEx'!M21-M6</f>
        <v>111006.1021</v>
      </c>
      <c r="N8" s="77">
        <f t="shared" si="1"/>
        <v>1336809.915</v>
      </c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5.75" customHeight="1">
      <c r="A9" s="90" t="s">
        <v>53</v>
      </c>
      <c r="B9" s="180">
        <f t="shared" ref="B9:M9" si="4">B7-B8</f>
        <v>10478.8082</v>
      </c>
      <c r="C9" s="180">
        <f t="shared" si="4"/>
        <v>-21108.7863</v>
      </c>
      <c r="D9" s="180">
        <f t="shared" si="4"/>
        <v>2513.890432</v>
      </c>
      <c r="E9" s="180">
        <f t="shared" si="4"/>
        <v>44974.15838</v>
      </c>
      <c r="F9" s="180">
        <f t="shared" si="4"/>
        <v>22711.22326</v>
      </c>
      <c r="G9" s="180">
        <f t="shared" si="4"/>
        <v>32589.31889</v>
      </c>
      <c r="H9" s="180">
        <f t="shared" si="4"/>
        <v>74154.51198</v>
      </c>
      <c r="I9" s="180">
        <f t="shared" si="4"/>
        <v>98338.30884</v>
      </c>
      <c r="J9" s="180">
        <f t="shared" si="4"/>
        <v>62416.95903</v>
      </c>
      <c r="K9" s="180">
        <f t="shared" si="4"/>
        <v>72497.4451</v>
      </c>
      <c r="L9" s="180">
        <f t="shared" si="4"/>
        <v>82600.66479</v>
      </c>
      <c r="M9" s="180">
        <f t="shared" si="4"/>
        <v>125516.5057</v>
      </c>
      <c r="N9" s="181">
        <f t="shared" si="1"/>
        <v>607683.0083</v>
      </c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5.75" customHeight="1">
      <c r="A10" s="116" t="s">
        <v>121</v>
      </c>
      <c r="B10" s="159">
        <f>'7. Debt and PP&amp;E'!B5</f>
        <v>574.7915</v>
      </c>
      <c r="C10" s="159">
        <f>'7. Debt and PP&amp;E'!C5</f>
        <v>769.1367381</v>
      </c>
      <c r="D10" s="189">
        <f>'7. Debt and PP&amp;E'!D5</f>
        <v>769.1367381</v>
      </c>
      <c r="E10" s="159">
        <f>'7. Debt and PP&amp;E'!E5</f>
        <v>769.1367381</v>
      </c>
      <c r="F10" s="159">
        <f>'7. Debt and PP&amp;E'!F5</f>
        <v>769.1367381</v>
      </c>
      <c r="G10" s="159">
        <f>'7. Debt and PP&amp;E'!G5</f>
        <v>769.1367381</v>
      </c>
      <c r="H10" s="159">
        <f>'7. Debt and PP&amp;E'!H5</f>
        <v>963.4819762</v>
      </c>
      <c r="I10" s="159">
        <f>'7. Debt and PP&amp;E'!I5</f>
        <v>963.4819762</v>
      </c>
      <c r="J10" s="159">
        <f>'7. Debt and PP&amp;E'!J5</f>
        <v>963.4819762</v>
      </c>
      <c r="K10" s="159">
        <f>'7. Debt and PP&amp;E'!K5</f>
        <v>963.4819762</v>
      </c>
      <c r="L10" s="159">
        <f>'7. Debt and PP&amp;E'!L5</f>
        <v>963.4819762</v>
      </c>
      <c r="M10" s="159">
        <f>'7. Debt and PP&amp;E'!M5</f>
        <v>963.4819762</v>
      </c>
      <c r="N10" s="77">
        <f t="shared" si="1"/>
        <v>10201.36705</v>
      </c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5.75" customHeight="1">
      <c r="A11" s="116" t="s">
        <v>122</v>
      </c>
      <c r="B11" s="180">
        <f t="shared" ref="B11:M11" si="5">B9-B10</f>
        <v>9904.016702</v>
      </c>
      <c r="C11" s="180">
        <f t="shared" si="5"/>
        <v>-21877.92304</v>
      </c>
      <c r="D11" s="180">
        <f t="shared" si="5"/>
        <v>1744.753694</v>
      </c>
      <c r="E11" s="180">
        <f t="shared" si="5"/>
        <v>44205.02164</v>
      </c>
      <c r="F11" s="180">
        <f t="shared" si="5"/>
        <v>21942.08652</v>
      </c>
      <c r="G11" s="180">
        <f t="shared" si="5"/>
        <v>31820.18215</v>
      </c>
      <c r="H11" s="180">
        <f t="shared" si="5"/>
        <v>73191.03001</v>
      </c>
      <c r="I11" s="180">
        <f t="shared" si="5"/>
        <v>97374.82686</v>
      </c>
      <c r="J11" s="180">
        <f t="shared" si="5"/>
        <v>61453.47705</v>
      </c>
      <c r="K11" s="180">
        <f t="shared" si="5"/>
        <v>71533.96313</v>
      </c>
      <c r="L11" s="180">
        <f t="shared" si="5"/>
        <v>81637.18281</v>
      </c>
      <c r="M11" s="180">
        <f t="shared" si="5"/>
        <v>124553.0238</v>
      </c>
      <c r="N11" s="181">
        <f t="shared" si="1"/>
        <v>597481.6413</v>
      </c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5.75" customHeight="1">
      <c r="A12" s="116" t="s">
        <v>123</v>
      </c>
      <c r="B12" s="159">
        <f>'7. Debt and PP&amp;E'!B14</f>
        <v>1037.189639</v>
      </c>
      <c r="C12" s="159">
        <f>'7. Debt and PP&amp;E'!C14</f>
        <v>1028.777333</v>
      </c>
      <c r="D12" s="159">
        <f>'7. Debt and PP&amp;E'!D14</f>
        <v>1020.291419</v>
      </c>
      <c r="E12" s="159">
        <f>'7. Debt and PP&amp;E'!E14</f>
        <v>1011.731254</v>
      </c>
      <c r="F12" s="159">
        <f>'7. Debt and PP&amp;E'!F14</f>
        <v>1003.096187</v>
      </c>
      <c r="G12" s="159">
        <f>'7. Debt and PP&amp;E'!G14</f>
        <v>994.3855628</v>
      </c>
      <c r="H12" s="159">
        <f>'7. Debt and PP&amp;E'!H14</f>
        <v>985.598721</v>
      </c>
      <c r="I12" s="159">
        <f>'7. Debt and PP&amp;E'!I14</f>
        <v>976.7349943</v>
      </c>
      <c r="J12" s="159">
        <f>'7. Debt and PP&amp;E'!J14</f>
        <v>967.79371</v>
      </c>
      <c r="K12" s="159">
        <f>'7. Debt and PP&amp;E'!K14</f>
        <v>958.7741894</v>
      </c>
      <c r="L12" s="159">
        <f>'7. Debt and PP&amp;E'!L14</f>
        <v>949.6757481</v>
      </c>
      <c r="M12" s="159">
        <f>'7. Debt and PP&amp;E'!M14</f>
        <v>940.4976954</v>
      </c>
      <c r="N12" s="77">
        <f t="shared" si="1"/>
        <v>11874.54645</v>
      </c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5.75" customHeight="1">
      <c r="A13" s="116" t="s">
        <v>124</v>
      </c>
      <c r="B13" s="180">
        <f t="shared" ref="B13:M13" si="6">B11-B12</f>
        <v>8866.827063</v>
      </c>
      <c r="C13" s="180">
        <f t="shared" si="6"/>
        <v>-22906.70037</v>
      </c>
      <c r="D13" s="180">
        <f t="shared" si="6"/>
        <v>724.4622743</v>
      </c>
      <c r="E13" s="180">
        <f t="shared" si="6"/>
        <v>43193.29039</v>
      </c>
      <c r="F13" s="180">
        <f t="shared" si="6"/>
        <v>20938.99033</v>
      </c>
      <c r="G13" s="180">
        <f t="shared" si="6"/>
        <v>30825.79659</v>
      </c>
      <c r="H13" s="180">
        <f t="shared" si="6"/>
        <v>72205.43129</v>
      </c>
      <c r="I13" s="180">
        <f t="shared" si="6"/>
        <v>96398.09187</v>
      </c>
      <c r="J13" s="180">
        <f t="shared" si="6"/>
        <v>60485.68334</v>
      </c>
      <c r="K13" s="180">
        <f t="shared" si="6"/>
        <v>70575.18894</v>
      </c>
      <c r="L13" s="180">
        <f t="shared" si="6"/>
        <v>80687.50707</v>
      </c>
      <c r="M13" s="180">
        <f t="shared" si="6"/>
        <v>123612.5261</v>
      </c>
      <c r="N13" s="181">
        <f t="shared" si="1"/>
        <v>585607.0948</v>
      </c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5.75" customHeight="1">
      <c r="A14" s="116" t="s">
        <v>125</v>
      </c>
      <c r="B14" s="159">
        <f>MAX(0,B13)*'3. Assumptions and Drivers'!$K$39</f>
        <v>665.0120297</v>
      </c>
      <c r="C14" s="159">
        <f>MAX(0,C13)*'3. Assumptions and Drivers'!$K$39</f>
        <v>0</v>
      </c>
      <c r="D14" s="159">
        <f>MAX(0,D13)*'3. Assumptions and Drivers'!$K$39</f>
        <v>54.33467057</v>
      </c>
      <c r="E14" s="159">
        <f>MAX(0,E13)*'3. Assumptions and Drivers'!$K$39</f>
        <v>3239.496779</v>
      </c>
      <c r="F14" s="159">
        <f>MAX(0,F13)*'3. Assumptions and Drivers'!$K$39</f>
        <v>1570.424275</v>
      </c>
      <c r="G14" s="159">
        <f>MAX(0,G13)*'3. Assumptions and Drivers'!$K$39</f>
        <v>2311.934744</v>
      </c>
      <c r="H14" s="159">
        <f>MAX(0,H13)*'3. Assumptions and Drivers'!$K$39</f>
        <v>5415.407347</v>
      </c>
      <c r="I14" s="159">
        <f>MAX(0,I13)*'3. Assumptions and Drivers'!$K$39</f>
        <v>7229.85689</v>
      </c>
      <c r="J14" s="159">
        <f>MAX(0,J13)*'3. Assumptions and Drivers'!$K$39</f>
        <v>4536.426251</v>
      </c>
      <c r="K14" s="159">
        <f>MAX(0,K13)*'3. Assumptions and Drivers'!$K$39</f>
        <v>5293.13917</v>
      </c>
      <c r="L14" s="159">
        <f>MAX(0,L13)*'3. Assumptions and Drivers'!$K$39</f>
        <v>6051.56303</v>
      </c>
      <c r="M14" s="159">
        <f>MAX(0,M13)*'3. Assumptions and Drivers'!$K$39</f>
        <v>9270.939454</v>
      </c>
      <c r="N14" s="77">
        <f t="shared" si="1"/>
        <v>45638.53464</v>
      </c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5.75" customHeight="1">
      <c r="A15" s="90" t="s">
        <v>126</v>
      </c>
      <c r="B15" s="159">
        <f>MAX(0,B13-B14)*'3. Assumptions and Drivers'!$K$40</f>
        <v>1722.381157</v>
      </c>
      <c r="C15" s="159">
        <f>MAX(0,C13-C14)*'3. Assumptions and Drivers'!$K$40</f>
        <v>0</v>
      </c>
      <c r="D15" s="159">
        <f>MAX(0,D13-D14)*'3. Assumptions and Drivers'!$K$40</f>
        <v>140.7267968</v>
      </c>
      <c r="E15" s="159">
        <f>MAX(0,E13-E14)*'3. Assumptions and Drivers'!$K$40</f>
        <v>8390.296658</v>
      </c>
      <c r="F15" s="159">
        <f>MAX(0,F13-F14)*'3. Assumptions and Drivers'!$K$40</f>
        <v>4067.398872</v>
      </c>
      <c r="G15" s="159">
        <f>MAX(0,G13-G14)*'3. Assumptions and Drivers'!$K$40</f>
        <v>5987.910988</v>
      </c>
      <c r="H15" s="159">
        <f>MAX(0,H13-H14)*'3. Assumptions and Drivers'!$K$40</f>
        <v>14025.90503</v>
      </c>
      <c r="I15" s="159">
        <f>MAX(0,I13-I14)*'3. Assumptions and Drivers'!$K$40</f>
        <v>18725.32935</v>
      </c>
      <c r="J15" s="159">
        <f>MAX(0,J13-J14)*'3. Assumptions and Drivers'!$K$40</f>
        <v>11749.34399</v>
      </c>
      <c r="K15" s="159">
        <f>MAX(0,K13-K14)*'3. Assumptions and Drivers'!$K$40</f>
        <v>13709.23045</v>
      </c>
      <c r="L15" s="159">
        <f>MAX(0,L13-L14)*'3. Assumptions and Drivers'!$K$40</f>
        <v>15673.54825</v>
      </c>
      <c r="M15" s="159">
        <f>MAX(0,M13-M14)*'3. Assumptions and Drivers'!$K$40</f>
        <v>24011.73319</v>
      </c>
      <c r="N15" s="77">
        <f t="shared" si="1"/>
        <v>118203.8047</v>
      </c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5.75" customHeight="1">
      <c r="A16" s="123" t="s">
        <v>396</v>
      </c>
      <c r="B16" s="190">
        <f t="shared" ref="B16:N16" si="7">SUM(B4,B6,B8,B10,B12,B14,B15)</f>
        <v>163652.3339</v>
      </c>
      <c r="C16" s="190">
        <f t="shared" si="7"/>
        <v>200543.1068</v>
      </c>
      <c r="D16" s="190">
        <f t="shared" si="7"/>
        <v>188163.007</v>
      </c>
      <c r="E16" s="190">
        <f t="shared" si="7"/>
        <v>201547.0722</v>
      </c>
      <c r="F16" s="190">
        <f t="shared" si="7"/>
        <v>195503.2434</v>
      </c>
      <c r="G16" s="190">
        <f t="shared" si="7"/>
        <v>204661.5052</v>
      </c>
      <c r="H16" s="190">
        <f t="shared" si="7"/>
        <v>242807.3826</v>
      </c>
      <c r="I16" s="190">
        <f t="shared" si="7"/>
        <v>241511.6414</v>
      </c>
      <c r="J16" s="190">
        <f t="shared" si="7"/>
        <v>226809.6353</v>
      </c>
      <c r="K16" s="190">
        <f t="shared" si="7"/>
        <v>230492.7305</v>
      </c>
      <c r="L16" s="190">
        <f t="shared" si="7"/>
        <v>234159.1554</v>
      </c>
      <c r="M16" s="190">
        <f t="shared" si="7"/>
        <v>247123.661</v>
      </c>
      <c r="N16" s="190">
        <f t="shared" si="7"/>
        <v>2576974.475</v>
      </c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5.75" customHeight="1">
      <c r="A17" s="116" t="s">
        <v>51</v>
      </c>
      <c r="B17" s="170">
        <f t="shared" ref="B17:M17" si="8">B13-B14-B15</f>
        <v>6479.433876</v>
      </c>
      <c r="C17" s="170">
        <f t="shared" si="8"/>
        <v>-22906.70037</v>
      </c>
      <c r="D17" s="170">
        <f t="shared" si="8"/>
        <v>529.400807</v>
      </c>
      <c r="E17" s="170">
        <f t="shared" si="8"/>
        <v>31563.49695</v>
      </c>
      <c r="F17" s="170">
        <f t="shared" si="8"/>
        <v>15301.16718</v>
      </c>
      <c r="G17" s="170">
        <f t="shared" si="8"/>
        <v>22525.95086</v>
      </c>
      <c r="H17" s="170">
        <f t="shared" si="8"/>
        <v>52764.11891</v>
      </c>
      <c r="I17" s="170">
        <f t="shared" si="8"/>
        <v>70442.90563</v>
      </c>
      <c r="J17" s="170">
        <f t="shared" si="8"/>
        <v>44199.9131</v>
      </c>
      <c r="K17" s="170">
        <f t="shared" si="8"/>
        <v>51572.81931</v>
      </c>
      <c r="L17" s="170">
        <f t="shared" si="8"/>
        <v>58962.39579</v>
      </c>
      <c r="M17" s="170">
        <f t="shared" si="8"/>
        <v>90329.85342</v>
      </c>
      <c r="N17" s="101">
        <f>SUM(B17:M17)</f>
        <v>421764.7555</v>
      </c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5.75" customHeight="1">
      <c r="A18" s="116"/>
      <c r="B18" s="115"/>
      <c r="C18" s="115"/>
      <c r="D18" s="115"/>
      <c r="E18" s="115"/>
      <c r="F18" s="115"/>
      <c r="G18" s="77"/>
      <c r="H18" s="77"/>
      <c r="I18" s="77"/>
      <c r="J18" s="77"/>
      <c r="K18" s="77"/>
      <c r="L18" s="77"/>
      <c r="M18" s="77"/>
      <c r="N18" s="77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5.75" customHeight="1">
      <c r="A19" s="191" t="s">
        <v>397</v>
      </c>
      <c r="B19" s="115"/>
      <c r="C19" s="115"/>
      <c r="D19" s="115"/>
      <c r="E19" s="115"/>
      <c r="F19" s="115"/>
      <c r="G19" s="77"/>
      <c r="H19" s="77"/>
      <c r="I19" s="77"/>
      <c r="J19" s="77"/>
      <c r="K19" s="77"/>
      <c r="L19" s="77"/>
      <c r="M19" s="77"/>
      <c r="N19" s="77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5.75" customHeight="1">
      <c r="A20" s="116" t="s">
        <v>398</v>
      </c>
      <c r="B20" s="115"/>
      <c r="C20" s="115"/>
      <c r="D20" s="115"/>
      <c r="E20" s="115"/>
      <c r="F20" s="115"/>
      <c r="G20" s="77"/>
      <c r="H20" s="77"/>
      <c r="I20" s="77"/>
      <c r="J20" s="77"/>
      <c r="K20" s="77"/>
      <c r="L20" s="77"/>
      <c r="M20" s="77"/>
      <c r="N20" s="77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116" t="s">
        <v>51</v>
      </c>
      <c r="B21" s="159">
        <f t="shared" ref="B21:M21" si="9">B17</f>
        <v>6479.433876</v>
      </c>
      <c r="C21" s="159">
        <f t="shared" si="9"/>
        <v>-22906.70037</v>
      </c>
      <c r="D21" s="159">
        <f t="shared" si="9"/>
        <v>529.400807</v>
      </c>
      <c r="E21" s="159">
        <f t="shared" si="9"/>
        <v>31563.49695</v>
      </c>
      <c r="F21" s="159">
        <f t="shared" si="9"/>
        <v>15301.16718</v>
      </c>
      <c r="G21" s="159">
        <f t="shared" si="9"/>
        <v>22525.95086</v>
      </c>
      <c r="H21" s="159">
        <f t="shared" si="9"/>
        <v>52764.11891</v>
      </c>
      <c r="I21" s="159">
        <f t="shared" si="9"/>
        <v>70442.90563</v>
      </c>
      <c r="J21" s="159">
        <f t="shared" si="9"/>
        <v>44199.9131</v>
      </c>
      <c r="K21" s="159">
        <f t="shared" si="9"/>
        <v>51572.81931</v>
      </c>
      <c r="L21" s="159">
        <f t="shared" si="9"/>
        <v>58962.39579</v>
      </c>
      <c r="M21" s="159">
        <f t="shared" si="9"/>
        <v>90329.85342</v>
      </c>
      <c r="N21" s="77">
        <f t="shared" ref="N21:N24" si="11">SUM(B21:M21)</f>
        <v>421764.7555</v>
      </c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116" t="s">
        <v>399</v>
      </c>
      <c r="B22" s="159">
        <f t="shared" ref="B22:M22" si="10">B10</f>
        <v>574.7915</v>
      </c>
      <c r="C22" s="159">
        <f t="shared" si="10"/>
        <v>769.1367381</v>
      </c>
      <c r="D22" s="159">
        <f t="shared" si="10"/>
        <v>769.1367381</v>
      </c>
      <c r="E22" s="159">
        <f t="shared" si="10"/>
        <v>769.1367381</v>
      </c>
      <c r="F22" s="159">
        <f t="shared" si="10"/>
        <v>769.1367381</v>
      </c>
      <c r="G22" s="159">
        <f t="shared" si="10"/>
        <v>769.1367381</v>
      </c>
      <c r="H22" s="159">
        <f t="shared" si="10"/>
        <v>963.4819762</v>
      </c>
      <c r="I22" s="159">
        <f t="shared" si="10"/>
        <v>963.4819762</v>
      </c>
      <c r="J22" s="159">
        <f t="shared" si="10"/>
        <v>963.4819762</v>
      </c>
      <c r="K22" s="159">
        <f t="shared" si="10"/>
        <v>963.4819762</v>
      </c>
      <c r="L22" s="159">
        <f t="shared" si="10"/>
        <v>963.4819762</v>
      </c>
      <c r="M22" s="159">
        <f t="shared" si="10"/>
        <v>963.4819762</v>
      </c>
      <c r="N22" s="77">
        <f t="shared" si="11"/>
        <v>10201.36705</v>
      </c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192" t="s">
        <v>400</v>
      </c>
      <c r="B23" s="159">
        <f>'4. Revenue and Volume '!D32-B5</f>
        <v>64225.48048</v>
      </c>
      <c r="C23" s="159">
        <f>'4. Revenue and Volume '!E32-C5</f>
        <v>56720.84186</v>
      </c>
      <c r="D23" s="159">
        <f>'4. Revenue and Volume '!F32-D5</f>
        <v>88607.46754</v>
      </c>
      <c r="E23" s="159">
        <f>'4. Revenue and Volume '!G32-E5</f>
        <v>77546.56479</v>
      </c>
      <c r="F23" s="159">
        <f>'4. Revenue and Volume '!H32-F5</f>
        <v>66486.27472</v>
      </c>
      <c r="G23" s="159">
        <f>'4. Revenue and Volume '!I32-G5</f>
        <v>114371.5977</v>
      </c>
      <c r="H23" s="159">
        <f>'4. Revenue and Volume '!J32-H5</f>
        <v>97975.61648</v>
      </c>
      <c r="I23" s="159">
        <f>'4. Revenue and Volume '!K32-I5</f>
        <v>81598.38962</v>
      </c>
      <c r="J23" s="159">
        <f>'4. Revenue and Volume '!L32-J5</f>
        <v>6909.990816</v>
      </c>
      <c r="K23" s="159">
        <f>'4. Revenue and Volume '!M32-K5</f>
        <v>-4132.425255</v>
      </c>
      <c r="L23" s="159">
        <f>'4. Revenue and Volume '!N32-L5</f>
        <v>-15197.57494</v>
      </c>
      <c r="M23" s="159">
        <f>'4. Revenue and Volume '!O32-M5</f>
        <v>-54272.62562</v>
      </c>
      <c r="N23" s="77">
        <f t="shared" si="11"/>
        <v>580839.5982</v>
      </c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116" t="s">
        <v>401</v>
      </c>
      <c r="B24" s="170">
        <f t="shared" ref="B24:M24" si="12">SUM(B21:B23)</f>
        <v>71279.70586</v>
      </c>
      <c r="C24" s="170">
        <f t="shared" si="12"/>
        <v>34583.27823</v>
      </c>
      <c r="D24" s="170">
        <f t="shared" si="12"/>
        <v>89906.00509</v>
      </c>
      <c r="E24" s="170">
        <f t="shared" si="12"/>
        <v>109879.1985</v>
      </c>
      <c r="F24" s="170">
        <f t="shared" si="12"/>
        <v>82556.57864</v>
      </c>
      <c r="G24" s="170">
        <f t="shared" si="12"/>
        <v>137666.6853</v>
      </c>
      <c r="H24" s="170">
        <f t="shared" si="12"/>
        <v>151703.2174</v>
      </c>
      <c r="I24" s="170">
        <f t="shared" si="12"/>
        <v>153004.7772</v>
      </c>
      <c r="J24" s="170">
        <f t="shared" si="12"/>
        <v>52073.3859</v>
      </c>
      <c r="K24" s="170">
        <f t="shared" si="12"/>
        <v>48403.87604</v>
      </c>
      <c r="L24" s="170">
        <f t="shared" si="12"/>
        <v>44728.30282</v>
      </c>
      <c r="M24" s="170">
        <f t="shared" si="12"/>
        <v>37020.70977</v>
      </c>
      <c r="N24" s="101">
        <f t="shared" si="11"/>
        <v>1012805.721</v>
      </c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116"/>
      <c r="B25" s="115"/>
      <c r="C25" s="115"/>
      <c r="D25" s="115"/>
      <c r="E25" s="115"/>
      <c r="F25" s="115"/>
      <c r="G25" s="77"/>
      <c r="H25" s="77"/>
      <c r="I25" s="77"/>
      <c r="J25" s="77"/>
      <c r="K25" s="77"/>
      <c r="L25" s="77"/>
      <c r="M25" s="77"/>
      <c r="N25" s="77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116" t="s">
        <v>402</v>
      </c>
      <c r="B26" s="115"/>
      <c r="C26" s="115"/>
      <c r="D26" s="115"/>
      <c r="E26" s="115"/>
      <c r="F26" s="115"/>
      <c r="G26" s="77"/>
      <c r="H26" s="77"/>
      <c r="I26" s="77"/>
      <c r="J26" s="77"/>
      <c r="K26" s="77"/>
      <c r="L26" s="77"/>
      <c r="M26" s="77"/>
      <c r="N26" s="77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116" t="s">
        <v>403</v>
      </c>
      <c r="B27" s="159">
        <f>'6. OpEx and CapEx'!B29</f>
        <v>15000</v>
      </c>
      <c r="C27" s="159">
        <f>'6. OpEx and CapEx'!C29</f>
        <v>8000</v>
      </c>
      <c r="D27" s="159">
        <f>'6. OpEx and CapEx'!D29</f>
        <v>0</v>
      </c>
      <c r="E27" s="159">
        <f>'6. OpEx and CapEx'!E29</f>
        <v>0</v>
      </c>
      <c r="F27" s="159">
        <f>'6. OpEx and CapEx'!F29</f>
        <v>0</v>
      </c>
      <c r="G27" s="159">
        <f>'6. OpEx and CapEx'!G29</f>
        <v>0</v>
      </c>
      <c r="H27" s="159">
        <f>'6. OpEx and CapEx'!H29</f>
        <v>8000</v>
      </c>
      <c r="I27" s="159">
        <f>'6. OpEx and CapEx'!I29</f>
        <v>0</v>
      </c>
      <c r="J27" s="159">
        <f>'6. OpEx and CapEx'!J29</f>
        <v>0</v>
      </c>
      <c r="K27" s="159">
        <f>'6. OpEx and CapEx'!K29</f>
        <v>0</v>
      </c>
      <c r="L27" s="159">
        <f>'6. OpEx and CapEx'!L29</f>
        <v>0</v>
      </c>
      <c r="M27" s="159">
        <f>'6. OpEx and CapEx'!M29</f>
        <v>0</v>
      </c>
      <c r="N27" s="77">
        <f t="shared" ref="N27:N28" si="14">SUM(B27:M27)</f>
        <v>31000</v>
      </c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116" t="s">
        <v>404</v>
      </c>
      <c r="B28" s="170">
        <f t="shared" ref="B28:M28" si="13">-B27</f>
        <v>-15000</v>
      </c>
      <c r="C28" s="170">
        <f t="shared" si="13"/>
        <v>-8000</v>
      </c>
      <c r="D28" s="170">
        <f t="shared" si="13"/>
        <v>0</v>
      </c>
      <c r="E28" s="170">
        <f t="shared" si="13"/>
        <v>0</v>
      </c>
      <c r="F28" s="170">
        <f t="shared" si="13"/>
        <v>0</v>
      </c>
      <c r="G28" s="170">
        <f t="shared" si="13"/>
        <v>0</v>
      </c>
      <c r="H28" s="170">
        <f t="shared" si="13"/>
        <v>-8000</v>
      </c>
      <c r="I28" s="170">
        <f t="shared" si="13"/>
        <v>0</v>
      </c>
      <c r="J28" s="170">
        <f t="shared" si="13"/>
        <v>0</v>
      </c>
      <c r="K28" s="170">
        <f t="shared" si="13"/>
        <v>0</v>
      </c>
      <c r="L28" s="170">
        <f t="shared" si="13"/>
        <v>0</v>
      </c>
      <c r="M28" s="170">
        <f t="shared" si="13"/>
        <v>0</v>
      </c>
      <c r="N28" s="193">
        <f t="shared" si="14"/>
        <v>-31000</v>
      </c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116"/>
      <c r="B29" s="115"/>
      <c r="C29" s="115"/>
      <c r="D29" s="115"/>
      <c r="E29" s="115"/>
      <c r="F29" s="115"/>
      <c r="G29" s="77"/>
      <c r="H29" s="77"/>
      <c r="I29" s="77"/>
      <c r="J29" s="77"/>
      <c r="K29" s="77"/>
      <c r="L29" s="77"/>
      <c r="M29" s="77"/>
      <c r="N29" s="77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116" t="s">
        <v>405</v>
      </c>
      <c r="B30" s="115"/>
      <c r="C30" s="115"/>
      <c r="D30" s="115"/>
      <c r="E30" s="115"/>
      <c r="F30" s="115"/>
      <c r="G30" s="77"/>
      <c r="H30" s="77"/>
      <c r="I30" s="77"/>
      <c r="J30" s="77"/>
      <c r="K30" s="77"/>
      <c r="L30" s="77"/>
      <c r="M30" s="77"/>
      <c r="N30" s="77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116" t="s">
        <v>406</v>
      </c>
      <c r="B31" s="159">
        <f>'7. Debt and PP&amp;E'!B11</f>
        <v>961.406418</v>
      </c>
      <c r="C31" s="159">
        <f>'7. Debt and PP&amp;E'!C11</f>
        <v>969.8187242</v>
      </c>
      <c r="D31" s="159">
        <f>'7. Debt and PP&amp;E'!D11</f>
        <v>978.304638</v>
      </c>
      <c r="E31" s="159">
        <f>'7. Debt and PP&amp;E'!E11</f>
        <v>986.8648036</v>
      </c>
      <c r="F31" s="159">
        <f>'7. Debt and PP&amp;E'!F11</f>
        <v>995.4998706</v>
      </c>
      <c r="G31" s="159">
        <f>'7. Debt and PP&amp;E'!G11</f>
        <v>1004.210494</v>
      </c>
      <c r="H31" s="159">
        <f>'7. Debt and PP&amp;E'!H11</f>
        <v>1012.997336</v>
      </c>
      <c r="I31" s="159">
        <f>'7. Debt and PP&amp;E'!I11</f>
        <v>1021.861063</v>
      </c>
      <c r="J31" s="159">
        <f>'7. Debt and PP&amp;E'!J11</f>
        <v>1030.802347</v>
      </c>
      <c r="K31" s="159">
        <f>'7. Debt and PP&amp;E'!K11</f>
        <v>1039.821868</v>
      </c>
      <c r="L31" s="159">
        <f>'7. Debt and PP&amp;E'!L11</f>
        <v>1048.920309</v>
      </c>
      <c r="M31" s="159">
        <f>'7. Debt and PP&amp;E'!M11</f>
        <v>1058.098362</v>
      </c>
      <c r="N31" s="77">
        <f t="shared" ref="N31:N32" si="16">SUM(B31:M31)</f>
        <v>12108.60623</v>
      </c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116" t="s">
        <v>407</v>
      </c>
      <c r="B32" s="170">
        <f t="shared" ref="B32:M32" si="15">-B31</f>
        <v>-961.406418</v>
      </c>
      <c r="C32" s="170">
        <f t="shared" si="15"/>
        <v>-969.8187242</v>
      </c>
      <c r="D32" s="170">
        <f t="shared" si="15"/>
        <v>-978.304638</v>
      </c>
      <c r="E32" s="170">
        <f t="shared" si="15"/>
        <v>-986.8648036</v>
      </c>
      <c r="F32" s="170">
        <f t="shared" si="15"/>
        <v>-995.4998706</v>
      </c>
      <c r="G32" s="170">
        <f t="shared" si="15"/>
        <v>-1004.210494</v>
      </c>
      <c r="H32" s="170">
        <f t="shared" si="15"/>
        <v>-1012.997336</v>
      </c>
      <c r="I32" s="170">
        <f t="shared" si="15"/>
        <v>-1021.861063</v>
      </c>
      <c r="J32" s="170">
        <f t="shared" si="15"/>
        <v>-1030.802347</v>
      </c>
      <c r="K32" s="170">
        <f t="shared" si="15"/>
        <v>-1039.821868</v>
      </c>
      <c r="L32" s="170">
        <f t="shared" si="15"/>
        <v>-1048.920309</v>
      </c>
      <c r="M32" s="170">
        <f t="shared" si="15"/>
        <v>-1058.098362</v>
      </c>
      <c r="N32" s="101">
        <f t="shared" si="16"/>
        <v>-12108.60623</v>
      </c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116"/>
      <c r="B33" s="115"/>
      <c r="C33" s="115"/>
      <c r="D33" s="115"/>
      <c r="E33" s="115"/>
      <c r="F33" s="115"/>
      <c r="G33" s="77"/>
      <c r="H33" s="77"/>
      <c r="I33" s="77"/>
      <c r="J33" s="77"/>
      <c r="K33" s="77"/>
      <c r="L33" s="77"/>
      <c r="M33" s="77"/>
      <c r="N33" s="77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116" t="s">
        <v>408</v>
      </c>
      <c r="B34" s="180">
        <f t="shared" ref="B34:M34" si="17">B24+B28+B32</f>
        <v>55318.29944</v>
      </c>
      <c r="C34" s="180">
        <f t="shared" si="17"/>
        <v>25613.4595</v>
      </c>
      <c r="D34" s="180">
        <f t="shared" si="17"/>
        <v>88927.70045</v>
      </c>
      <c r="E34" s="180">
        <f t="shared" si="17"/>
        <v>108892.3337</v>
      </c>
      <c r="F34" s="180">
        <f t="shared" si="17"/>
        <v>81561.07877</v>
      </c>
      <c r="G34" s="180">
        <f t="shared" si="17"/>
        <v>136662.4748</v>
      </c>
      <c r="H34" s="180">
        <f t="shared" si="17"/>
        <v>142690.22</v>
      </c>
      <c r="I34" s="180">
        <f t="shared" si="17"/>
        <v>151982.9162</v>
      </c>
      <c r="J34" s="180">
        <f t="shared" si="17"/>
        <v>51042.58355</v>
      </c>
      <c r="K34" s="180">
        <f t="shared" si="17"/>
        <v>47364.05417</v>
      </c>
      <c r="L34" s="180">
        <f t="shared" si="17"/>
        <v>43679.38251</v>
      </c>
      <c r="M34" s="180">
        <f t="shared" si="17"/>
        <v>35962.61141</v>
      </c>
      <c r="N34" s="77">
        <f t="shared" ref="N34:N36" si="19">SUM(B34:M34)</f>
        <v>969697.1145</v>
      </c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116" t="s">
        <v>409</v>
      </c>
      <c r="B35" s="159">
        <f>'3. Assumptions and Drivers'!$K$43</f>
        <v>83279</v>
      </c>
      <c r="C35" s="159">
        <f t="shared" ref="C35:M35" si="18">B36</f>
        <v>138597.2994</v>
      </c>
      <c r="D35" s="159">
        <f t="shared" si="18"/>
        <v>164210.7589</v>
      </c>
      <c r="E35" s="159">
        <f t="shared" si="18"/>
        <v>253138.4594</v>
      </c>
      <c r="F35" s="159">
        <f t="shared" si="18"/>
        <v>362030.7931</v>
      </c>
      <c r="G35" s="159">
        <f t="shared" si="18"/>
        <v>443591.8718</v>
      </c>
      <c r="H35" s="159">
        <f t="shared" si="18"/>
        <v>580254.3466</v>
      </c>
      <c r="I35" s="159">
        <f t="shared" si="18"/>
        <v>722944.5667</v>
      </c>
      <c r="J35" s="159">
        <f t="shared" si="18"/>
        <v>874927.4828</v>
      </c>
      <c r="K35" s="159">
        <f t="shared" si="18"/>
        <v>925970.0664</v>
      </c>
      <c r="L35" s="159">
        <f t="shared" si="18"/>
        <v>973334.1206</v>
      </c>
      <c r="M35" s="159">
        <f t="shared" si="18"/>
        <v>1017013.503</v>
      </c>
      <c r="N35" s="77">
        <f t="shared" si="19"/>
        <v>6539292.269</v>
      </c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116" t="s">
        <v>410</v>
      </c>
      <c r="B36" s="170">
        <f t="shared" ref="B36:M36" si="20">B34+B35</f>
        <v>138597.2994</v>
      </c>
      <c r="C36" s="170">
        <f t="shared" si="20"/>
        <v>164210.7589</v>
      </c>
      <c r="D36" s="170">
        <f t="shared" si="20"/>
        <v>253138.4594</v>
      </c>
      <c r="E36" s="170">
        <f t="shared" si="20"/>
        <v>362030.7931</v>
      </c>
      <c r="F36" s="170">
        <f t="shared" si="20"/>
        <v>443591.8718</v>
      </c>
      <c r="G36" s="170">
        <f t="shared" si="20"/>
        <v>580254.3466</v>
      </c>
      <c r="H36" s="170">
        <f t="shared" si="20"/>
        <v>722944.5667</v>
      </c>
      <c r="I36" s="170">
        <f t="shared" si="20"/>
        <v>874927.4828</v>
      </c>
      <c r="J36" s="170">
        <f t="shared" si="20"/>
        <v>925970.0664</v>
      </c>
      <c r="K36" s="170">
        <f t="shared" si="20"/>
        <v>973334.1206</v>
      </c>
      <c r="L36" s="170">
        <f t="shared" si="20"/>
        <v>1017013.503</v>
      </c>
      <c r="M36" s="170">
        <f t="shared" si="20"/>
        <v>1052976.114</v>
      </c>
      <c r="N36" s="101">
        <f t="shared" si="19"/>
        <v>7508989.383</v>
      </c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116"/>
      <c r="B37" s="115"/>
      <c r="C37" s="115"/>
      <c r="D37" s="115"/>
      <c r="E37" s="115"/>
      <c r="F37" s="115"/>
      <c r="G37" s="77"/>
      <c r="H37" s="77"/>
      <c r="I37" s="77"/>
      <c r="J37" s="77"/>
      <c r="K37" s="77"/>
      <c r="L37" s="77"/>
      <c r="M37" s="77"/>
      <c r="N37" s="77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191" t="s">
        <v>411</v>
      </c>
      <c r="B38" s="115"/>
      <c r="C38" s="115"/>
      <c r="D38" s="115"/>
      <c r="E38" s="115"/>
      <c r="F38" s="115"/>
      <c r="G38" s="77"/>
      <c r="H38" s="77"/>
      <c r="I38" s="77"/>
      <c r="J38" s="77"/>
      <c r="K38" s="77"/>
      <c r="L38" s="77"/>
      <c r="M38" s="77"/>
      <c r="N38" s="77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116" t="s">
        <v>412</v>
      </c>
      <c r="B39" s="115"/>
      <c r="C39" s="115"/>
      <c r="D39" s="115"/>
      <c r="E39" s="115"/>
      <c r="F39" s="115"/>
      <c r="G39" s="77"/>
      <c r="H39" s="77"/>
      <c r="I39" s="77"/>
      <c r="J39" s="77"/>
      <c r="K39" s="77"/>
      <c r="L39" s="77"/>
      <c r="M39" s="77"/>
      <c r="N39" s="77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116" t="s">
        <v>413</v>
      </c>
      <c r="B40" s="115">
        <f t="shared" ref="B40:M40" si="21">B36</f>
        <v>138597.2994</v>
      </c>
      <c r="C40" s="115">
        <f t="shared" si="21"/>
        <v>164210.7589</v>
      </c>
      <c r="D40" s="115">
        <f t="shared" si="21"/>
        <v>253138.4594</v>
      </c>
      <c r="E40" s="115">
        <f t="shared" si="21"/>
        <v>362030.7931</v>
      </c>
      <c r="F40" s="115">
        <f t="shared" si="21"/>
        <v>443591.8718</v>
      </c>
      <c r="G40" s="115">
        <f t="shared" si="21"/>
        <v>580254.3466</v>
      </c>
      <c r="H40" s="115">
        <f t="shared" si="21"/>
        <v>722944.5667</v>
      </c>
      <c r="I40" s="115">
        <f t="shared" si="21"/>
        <v>874927.4828</v>
      </c>
      <c r="J40" s="115">
        <f t="shared" si="21"/>
        <v>925970.0664</v>
      </c>
      <c r="K40" s="115">
        <f t="shared" si="21"/>
        <v>973334.1206</v>
      </c>
      <c r="L40" s="115">
        <f t="shared" si="21"/>
        <v>1017013.503</v>
      </c>
      <c r="M40" s="115">
        <f t="shared" si="21"/>
        <v>1052976.114</v>
      </c>
      <c r="N40" s="77">
        <f t="shared" ref="N40:N42" si="22">SUM(B40:M40)</f>
        <v>7508989.383</v>
      </c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116" t="s">
        <v>414</v>
      </c>
      <c r="B41" s="159">
        <f>'7. Debt and PP&amp;E'!B6</f>
        <v>41412.6985</v>
      </c>
      <c r="C41" s="159">
        <f>'7. Debt and PP&amp;E'!C6</f>
        <v>48643.56176</v>
      </c>
      <c r="D41" s="159">
        <f>'7. Debt and PP&amp;E'!D6</f>
        <v>47874.42502</v>
      </c>
      <c r="E41" s="159">
        <f>'7. Debt and PP&amp;E'!E6</f>
        <v>47105.28829</v>
      </c>
      <c r="F41" s="159">
        <f>'7. Debt and PP&amp;E'!F6</f>
        <v>46336.15155</v>
      </c>
      <c r="G41" s="159">
        <f>'7. Debt and PP&amp;E'!G6</f>
        <v>45567.01481</v>
      </c>
      <c r="H41" s="159">
        <f>'7. Debt and PP&amp;E'!H6</f>
        <v>52603.53283</v>
      </c>
      <c r="I41" s="159">
        <f>'7. Debt and PP&amp;E'!I6</f>
        <v>51640.05086</v>
      </c>
      <c r="J41" s="159">
        <f>'7. Debt and PP&amp;E'!J6</f>
        <v>50676.56888</v>
      </c>
      <c r="K41" s="159">
        <f>'7. Debt and PP&amp;E'!K6</f>
        <v>49713.0869</v>
      </c>
      <c r="L41" s="159">
        <f>'7. Debt and PP&amp;E'!L6</f>
        <v>48749.60493</v>
      </c>
      <c r="M41" s="159">
        <f>'7. Debt and PP&amp;E'!M6</f>
        <v>47786.12295</v>
      </c>
      <c r="N41" s="77">
        <f t="shared" si="22"/>
        <v>578108.1073</v>
      </c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116" t="s">
        <v>415</v>
      </c>
      <c r="B42" s="182">
        <f t="shared" ref="B42:M42" si="23">SUM(B40:B41)</f>
        <v>180009.9979</v>
      </c>
      <c r="C42" s="182">
        <f t="shared" si="23"/>
        <v>212854.3207</v>
      </c>
      <c r="D42" s="182">
        <f t="shared" si="23"/>
        <v>301012.8844</v>
      </c>
      <c r="E42" s="182">
        <f t="shared" si="23"/>
        <v>409136.0814</v>
      </c>
      <c r="F42" s="182">
        <f t="shared" si="23"/>
        <v>489928.0234</v>
      </c>
      <c r="G42" s="182">
        <f t="shared" si="23"/>
        <v>625821.3614</v>
      </c>
      <c r="H42" s="182">
        <f t="shared" si="23"/>
        <v>775548.0995</v>
      </c>
      <c r="I42" s="182">
        <f t="shared" si="23"/>
        <v>926567.5337</v>
      </c>
      <c r="J42" s="182">
        <f t="shared" si="23"/>
        <v>976646.6353</v>
      </c>
      <c r="K42" s="182">
        <f t="shared" si="23"/>
        <v>1023047.207</v>
      </c>
      <c r="L42" s="182">
        <f t="shared" si="23"/>
        <v>1065763.108</v>
      </c>
      <c r="M42" s="182">
        <f t="shared" si="23"/>
        <v>1100762.237</v>
      </c>
      <c r="N42" s="101">
        <f t="shared" si="22"/>
        <v>8087097.491</v>
      </c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116"/>
      <c r="B43" s="115"/>
      <c r="C43" s="115"/>
      <c r="D43" s="115"/>
      <c r="E43" s="115"/>
      <c r="F43" s="115"/>
      <c r="G43" s="77"/>
      <c r="H43" s="77"/>
      <c r="I43" s="77"/>
      <c r="J43" s="77"/>
      <c r="K43" s="77"/>
      <c r="L43" s="77"/>
      <c r="M43" s="77"/>
      <c r="N43" s="77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116" t="s">
        <v>416</v>
      </c>
      <c r="B44" s="115"/>
      <c r="C44" s="115"/>
      <c r="D44" s="115"/>
      <c r="E44" s="115"/>
      <c r="F44" s="115"/>
      <c r="G44" s="77"/>
      <c r="H44" s="77"/>
      <c r="I44" s="77"/>
      <c r="J44" s="77"/>
      <c r="K44" s="77"/>
      <c r="L44" s="77"/>
      <c r="M44" s="77"/>
      <c r="N44" s="77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116" t="s">
        <v>417</v>
      </c>
      <c r="B45" s="159">
        <f>B23</f>
        <v>64225.48048</v>
      </c>
      <c r="C45" s="159">
        <f t="shared" ref="C45:M45" si="24">B45+C23</f>
        <v>120946.3223</v>
      </c>
      <c r="D45" s="159">
        <f t="shared" si="24"/>
        <v>209553.7899</v>
      </c>
      <c r="E45" s="159">
        <f t="shared" si="24"/>
        <v>287100.3547</v>
      </c>
      <c r="F45" s="159">
        <f t="shared" si="24"/>
        <v>353586.6294</v>
      </c>
      <c r="G45" s="159">
        <f t="shared" si="24"/>
        <v>467958.2271</v>
      </c>
      <c r="H45" s="159">
        <f t="shared" si="24"/>
        <v>565933.8436</v>
      </c>
      <c r="I45" s="159">
        <f t="shared" si="24"/>
        <v>647532.2332</v>
      </c>
      <c r="J45" s="159">
        <f t="shared" si="24"/>
        <v>654442.224</v>
      </c>
      <c r="K45" s="159">
        <f t="shared" si="24"/>
        <v>650309.7987</v>
      </c>
      <c r="L45" s="159">
        <f t="shared" si="24"/>
        <v>635112.2238</v>
      </c>
      <c r="M45" s="159">
        <f t="shared" si="24"/>
        <v>580839.5982</v>
      </c>
      <c r="N45" s="77">
        <f t="shared" ref="N45:N47" si="25">SUM(B45:M45)</f>
        <v>5237540.725</v>
      </c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116" t="s">
        <v>418</v>
      </c>
      <c r="B46" s="115">
        <f>'7. Debt and PP&amp;E'!B9-B31</f>
        <v>117574.5524</v>
      </c>
      <c r="C46" s="115">
        <f>'7. Debt and PP&amp;E'!C9-C31</f>
        <v>116604.7336</v>
      </c>
      <c r="D46" s="115">
        <f>'7. Debt and PP&amp;E'!D9-D31</f>
        <v>115626.429</v>
      </c>
      <c r="E46" s="115">
        <f>'7. Debt and PP&amp;E'!E9-E31</f>
        <v>114639.5642</v>
      </c>
      <c r="F46" s="115">
        <f>'7. Debt and PP&amp;E'!F9-F31</f>
        <v>113644.0643</v>
      </c>
      <c r="G46" s="115">
        <f>'7. Debt and PP&amp;E'!G9-G31</f>
        <v>112639.8538</v>
      </c>
      <c r="H46" s="115">
        <f>'7. Debt and PP&amp;E'!H9-H31</f>
        <v>111626.8565</v>
      </c>
      <c r="I46" s="115">
        <f>'7. Debt and PP&amp;E'!I9-I31</f>
        <v>110604.9954</v>
      </c>
      <c r="J46" s="115">
        <f>'7. Debt and PP&amp;E'!J9-J31</f>
        <v>109574.1931</v>
      </c>
      <c r="K46" s="115">
        <f>'7. Debt and PP&amp;E'!K9-K31</f>
        <v>108534.3712</v>
      </c>
      <c r="L46" s="115">
        <f>'7. Debt and PP&amp;E'!L9-L31</f>
        <v>107485.4509</v>
      </c>
      <c r="M46" s="115">
        <f>'7. Debt and PP&amp;E'!M9-M31</f>
        <v>106427.3525</v>
      </c>
      <c r="N46" s="77">
        <f t="shared" si="25"/>
        <v>1344982.417</v>
      </c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5.75" customHeight="1">
      <c r="A47" s="116" t="s">
        <v>419</v>
      </c>
      <c r="B47" s="182">
        <f t="shared" ref="B47:M47" si="26">SUM(B45:B46)</f>
        <v>181800.0328</v>
      </c>
      <c r="C47" s="182">
        <f t="shared" si="26"/>
        <v>237551.056</v>
      </c>
      <c r="D47" s="182">
        <f t="shared" si="26"/>
        <v>325180.2189</v>
      </c>
      <c r="E47" s="182">
        <f t="shared" si="26"/>
        <v>401739.9189</v>
      </c>
      <c r="F47" s="182">
        <f t="shared" si="26"/>
        <v>467230.6937</v>
      </c>
      <c r="G47" s="182">
        <f t="shared" si="26"/>
        <v>580598.0809</v>
      </c>
      <c r="H47" s="182">
        <f t="shared" si="26"/>
        <v>677560.7001</v>
      </c>
      <c r="I47" s="182">
        <f t="shared" si="26"/>
        <v>758137.2286</v>
      </c>
      <c r="J47" s="182">
        <f t="shared" si="26"/>
        <v>764016.4171</v>
      </c>
      <c r="K47" s="182">
        <f t="shared" si="26"/>
        <v>758844.17</v>
      </c>
      <c r="L47" s="182">
        <f t="shared" si="26"/>
        <v>742597.6747</v>
      </c>
      <c r="M47" s="182">
        <f t="shared" si="26"/>
        <v>687266.9507</v>
      </c>
      <c r="N47" s="101">
        <f t="shared" si="25"/>
        <v>6582523.142</v>
      </c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5.75" customHeight="1">
      <c r="A48" s="116"/>
      <c r="B48" s="115"/>
      <c r="C48" s="115"/>
      <c r="D48" s="115"/>
      <c r="E48" s="115"/>
      <c r="F48" s="115"/>
      <c r="G48" s="77"/>
      <c r="H48" s="77"/>
      <c r="I48" s="77"/>
      <c r="J48" s="77"/>
      <c r="K48" s="77"/>
      <c r="L48" s="77"/>
      <c r="M48" s="77"/>
      <c r="N48" s="77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5.75" customHeight="1">
      <c r="A49" s="116" t="s">
        <v>420</v>
      </c>
      <c r="B49" s="115"/>
      <c r="C49" s="115"/>
      <c r="D49" s="115"/>
      <c r="E49" s="115"/>
      <c r="F49" s="115"/>
      <c r="G49" s="77"/>
      <c r="H49" s="77"/>
      <c r="I49" s="77"/>
      <c r="J49" s="77"/>
      <c r="K49" s="77"/>
      <c r="L49" s="77"/>
      <c r="M49" s="77"/>
      <c r="N49" s="77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5.75" customHeight="1">
      <c r="A50" s="192" t="s">
        <v>421</v>
      </c>
      <c r="B50" s="159">
        <f>('3. Assumptions and Drivers'!$K$43+'3. Assumptions and Drivers'!K29-'3. Assumptions and Drivers'!K34)+B21</f>
        <v>-1790.034899</v>
      </c>
      <c r="C50" s="159">
        <f t="shared" ref="C50:M50" si="27">B50+C21</f>
        <v>-24696.73527</v>
      </c>
      <c r="D50" s="159">
        <f t="shared" si="27"/>
        <v>-24167.33446</v>
      </c>
      <c r="E50" s="159">
        <f t="shared" si="27"/>
        <v>7396.16249</v>
      </c>
      <c r="F50" s="159">
        <f t="shared" si="27"/>
        <v>22697.32967</v>
      </c>
      <c r="G50" s="159">
        <f t="shared" si="27"/>
        <v>45223.28053</v>
      </c>
      <c r="H50" s="159">
        <f t="shared" si="27"/>
        <v>97987.39945</v>
      </c>
      <c r="I50" s="159">
        <f t="shared" si="27"/>
        <v>168430.3051</v>
      </c>
      <c r="J50" s="159">
        <f t="shared" si="27"/>
        <v>212630.2182</v>
      </c>
      <c r="K50" s="159">
        <f t="shared" si="27"/>
        <v>264203.0375</v>
      </c>
      <c r="L50" s="159">
        <f t="shared" si="27"/>
        <v>323165.4333</v>
      </c>
      <c r="M50" s="159">
        <f t="shared" si="27"/>
        <v>413495.2867</v>
      </c>
      <c r="N50" s="77">
        <f t="shared" ref="N50:N51" si="29">SUM(B50:M50)</f>
        <v>1504574.348</v>
      </c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5.75" customHeight="1">
      <c r="A51" s="116" t="s">
        <v>422</v>
      </c>
      <c r="B51" s="182">
        <f t="shared" ref="B51:M51" si="28">B50</f>
        <v>-1790.034899</v>
      </c>
      <c r="C51" s="182">
        <f t="shared" si="28"/>
        <v>-24696.73527</v>
      </c>
      <c r="D51" s="182">
        <f t="shared" si="28"/>
        <v>-24167.33446</v>
      </c>
      <c r="E51" s="182">
        <f t="shared" si="28"/>
        <v>7396.16249</v>
      </c>
      <c r="F51" s="182">
        <f t="shared" si="28"/>
        <v>22697.32967</v>
      </c>
      <c r="G51" s="182">
        <f t="shared" si="28"/>
        <v>45223.28053</v>
      </c>
      <c r="H51" s="182">
        <f t="shared" si="28"/>
        <v>97987.39945</v>
      </c>
      <c r="I51" s="182">
        <f t="shared" si="28"/>
        <v>168430.3051</v>
      </c>
      <c r="J51" s="182">
        <f t="shared" si="28"/>
        <v>212630.2182</v>
      </c>
      <c r="K51" s="182">
        <f t="shared" si="28"/>
        <v>264203.0375</v>
      </c>
      <c r="L51" s="182">
        <f t="shared" si="28"/>
        <v>323165.4333</v>
      </c>
      <c r="M51" s="182">
        <f t="shared" si="28"/>
        <v>413495.2867</v>
      </c>
      <c r="N51" s="101">
        <f t="shared" si="29"/>
        <v>1504574.348</v>
      </c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5.75" customHeight="1">
      <c r="A52" s="116"/>
      <c r="B52" s="115"/>
      <c r="C52" s="115"/>
      <c r="D52" s="115"/>
      <c r="E52" s="115"/>
      <c r="F52" s="115"/>
      <c r="G52" s="77"/>
      <c r="H52" s="77"/>
      <c r="I52" s="77"/>
      <c r="J52" s="77"/>
      <c r="K52" s="77"/>
      <c r="L52" s="77"/>
      <c r="M52" s="77"/>
      <c r="N52" s="77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5.75" customHeight="1">
      <c r="A53" s="116" t="s">
        <v>423</v>
      </c>
      <c r="B53" s="115">
        <f t="shared" ref="B53:M53" si="30">B51+B47</f>
        <v>180009.9979</v>
      </c>
      <c r="C53" s="115">
        <f t="shared" si="30"/>
        <v>212854.3207</v>
      </c>
      <c r="D53" s="115">
        <f t="shared" si="30"/>
        <v>301012.8844</v>
      </c>
      <c r="E53" s="115">
        <f t="shared" si="30"/>
        <v>409136.0814</v>
      </c>
      <c r="F53" s="115">
        <f t="shared" si="30"/>
        <v>489928.0234</v>
      </c>
      <c r="G53" s="115">
        <f t="shared" si="30"/>
        <v>625821.3614</v>
      </c>
      <c r="H53" s="115">
        <f t="shared" si="30"/>
        <v>775548.0995</v>
      </c>
      <c r="I53" s="115">
        <f t="shared" si="30"/>
        <v>926567.5337</v>
      </c>
      <c r="J53" s="115">
        <f t="shared" si="30"/>
        <v>976646.6353</v>
      </c>
      <c r="K53" s="115">
        <f t="shared" si="30"/>
        <v>1023047.207</v>
      </c>
      <c r="L53" s="115">
        <f t="shared" si="30"/>
        <v>1065763.108</v>
      </c>
      <c r="M53" s="115">
        <f t="shared" si="30"/>
        <v>1100762.237</v>
      </c>
      <c r="N53" s="77">
        <f>SUM(B53:M53)</f>
        <v>8087097.491</v>
      </c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5.75" customHeight="1">
      <c r="A54" s="194" t="s">
        <v>424</v>
      </c>
      <c r="B54" s="182">
        <f t="shared" ref="B54:N54" si="31">ROUND(B42-B53,2)</f>
        <v>0</v>
      </c>
      <c r="C54" s="182">
        <f t="shared" si="31"/>
        <v>0</v>
      </c>
      <c r="D54" s="182">
        <f t="shared" si="31"/>
        <v>0</v>
      </c>
      <c r="E54" s="182">
        <f t="shared" si="31"/>
        <v>0</v>
      </c>
      <c r="F54" s="182">
        <f t="shared" si="31"/>
        <v>0</v>
      </c>
      <c r="G54" s="182">
        <f t="shared" si="31"/>
        <v>0</v>
      </c>
      <c r="H54" s="182">
        <f t="shared" si="31"/>
        <v>0</v>
      </c>
      <c r="I54" s="182">
        <f t="shared" si="31"/>
        <v>0</v>
      </c>
      <c r="J54" s="182">
        <f t="shared" si="31"/>
        <v>0</v>
      </c>
      <c r="K54" s="182">
        <f t="shared" si="31"/>
        <v>0</v>
      </c>
      <c r="L54" s="182">
        <f t="shared" si="31"/>
        <v>0</v>
      </c>
      <c r="M54" s="182">
        <f t="shared" si="31"/>
        <v>0</v>
      </c>
      <c r="N54" s="182">
        <f t="shared" si="31"/>
        <v>0</v>
      </c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5.75" customHeight="1">
      <c r="A55" s="116"/>
      <c r="B55" s="115"/>
      <c r="C55" s="115"/>
      <c r="D55" s="115"/>
      <c r="E55" s="115"/>
      <c r="F55" s="115"/>
      <c r="G55" s="77"/>
      <c r="H55" s="77"/>
      <c r="I55" s="77"/>
      <c r="J55" s="77"/>
      <c r="K55" s="77"/>
      <c r="L55" s="77"/>
      <c r="M55" s="77"/>
      <c r="N55" s="77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5.75" customHeight="1">
      <c r="A56" s="116"/>
      <c r="B56" s="115"/>
      <c r="C56" s="115"/>
      <c r="D56" s="115"/>
      <c r="E56" s="115"/>
      <c r="F56" s="115"/>
      <c r="G56" s="77"/>
      <c r="H56" s="77"/>
      <c r="I56" s="77"/>
      <c r="J56" s="77"/>
      <c r="K56" s="77"/>
      <c r="L56" s="77"/>
      <c r="M56" s="77"/>
      <c r="N56" s="77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5.75" customHeight="1">
      <c r="A57" s="116"/>
      <c r="B57" s="115"/>
      <c r="C57" s="115"/>
      <c r="D57" s="115"/>
      <c r="E57" s="115"/>
      <c r="F57" s="115"/>
      <c r="G57" s="77"/>
      <c r="H57" s="77"/>
      <c r="I57" s="77"/>
      <c r="J57" s="77"/>
      <c r="K57" s="77"/>
      <c r="L57" s="77"/>
      <c r="M57" s="77"/>
      <c r="N57" s="77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5.75" customHeight="1">
      <c r="A58" s="116"/>
      <c r="B58" s="115"/>
      <c r="C58" s="115"/>
      <c r="D58" s="115"/>
      <c r="E58" s="115"/>
      <c r="F58" s="115"/>
      <c r="G58" s="77"/>
      <c r="H58" s="77"/>
      <c r="I58" s="77"/>
      <c r="J58" s="77"/>
      <c r="K58" s="77"/>
      <c r="L58" s="77"/>
      <c r="M58" s="77"/>
      <c r="N58" s="77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5.75" customHeight="1">
      <c r="A59" s="116"/>
      <c r="B59" s="115"/>
      <c r="C59" s="115"/>
      <c r="D59" s="115"/>
      <c r="E59" s="115"/>
      <c r="F59" s="115"/>
      <c r="G59" s="77"/>
      <c r="H59" s="77"/>
      <c r="I59" s="77"/>
      <c r="J59" s="77"/>
      <c r="K59" s="77"/>
      <c r="L59" s="77"/>
      <c r="M59" s="77"/>
      <c r="N59" s="77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5.75" customHeight="1">
      <c r="A60" s="116"/>
      <c r="B60" s="115"/>
      <c r="C60" s="115"/>
      <c r="D60" s="115"/>
      <c r="E60" s="115"/>
      <c r="F60" s="115"/>
      <c r="G60" s="77"/>
      <c r="H60" s="77"/>
      <c r="I60" s="77"/>
      <c r="J60" s="77"/>
      <c r="K60" s="77"/>
      <c r="L60" s="77"/>
      <c r="M60" s="77"/>
      <c r="N60" s="77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5.75" customHeight="1">
      <c r="A61" s="116"/>
      <c r="B61" s="115"/>
      <c r="C61" s="115"/>
      <c r="D61" s="115"/>
      <c r="E61" s="115"/>
      <c r="F61" s="115"/>
      <c r="G61" s="77"/>
      <c r="H61" s="77"/>
      <c r="I61" s="77"/>
      <c r="J61" s="77"/>
      <c r="K61" s="77"/>
      <c r="L61" s="77"/>
      <c r="M61" s="77"/>
      <c r="N61" s="77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5.75" customHeight="1">
      <c r="A62" s="116"/>
      <c r="B62" s="115"/>
      <c r="C62" s="115"/>
      <c r="D62" s="115"/>
      <c r="E62" s="115"/>
      <c r="F62" s="115"/>
      <c r="G62" s="77"/>
      <c r="H62" s="77"/>
      <c r="I62" s="77"/>
      <c r="J62" s="77"/>
      <c r="K62" s="77"/>
      <c r="L62" s="77"/>
      <c r="M62" s="77"/>
      <c r="N62" s="77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5.75" customHeight="1">
      <c r="A63" s="116"/>
      <c r="B63" s="115"/>
      <c r="C63" s="115"/>
      <c r="D63" s="115"/>
      <c r="E63" s="115"/>
      <c r="F63" s="115"/>
      <c r="G63" s="77"/>
      <c r="H63" s="77"/>
      <c r="I63" s="77"/>
      <c r="J63" s="77"/>
      <c r="K63" s="77"/>
      <c r="L63" s="77"/>
      <c r="M63" s="77"/>
      <c r="N63" s="77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5.75" customHeight="1">
      <c r="A64" s="116"/>
      <c r="B64" s="115"/>
      <c r="C64" s="115"/>
      <c r="D64" s="115"/>
      <c r="E64" s="115"/>
      <c r="F64" s="115"/>
      <c r="G64" s="77"/>
      <c r="H64" s="77"/>
      <c r="I64" s="77"/>
      <c r="J64" s="77"/>
      <c r="K64" s="77"/>
      <c r="L64" s="77"/>
      <c r="M64" s="77"/>
      <c r="N64" s="77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5.75" customHeight="1">
      <c r="A65" s="116"/>
      <c r="B65" s="115"/>
      <c r="C65" s="115"/>
      <c r="D65" s="115"/>
      <c r="E65" s="115"/>
      <c r="F65" s="115"/>
      <c r="G65" s="77"/>
      <c r="H65" s="77"/>
      <c r="I65" s="77"/>
      <c r="J65" s="77"/>
      <c r="K65" s="77"/>
      <c r="L65" s="77"/>
      <c r="M65" s="77"/>
      <c r="N65" s="77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5.75" customHeight="1">
      <c r="A66" s="116"/>
      <c r="B66" s="115"/>
      <c r="C66" s="115"/>
      <c r="D66" s="115"/>
      <c r="E66" s="115"/>
      <c r="F66" s="115"/>
      <c r="G66" s="77"/>
      <c r="H66" s="77"/>
      <c r="I66" s="77"/>
      <c r="J66" s="77"/>
      <c r="K66" s="77"/>
      <c r="L66" s="77"/>
      <c r="M66" s="77"/>
      <c r="N66" s="77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5.75" customHeight="1">
      <c r="A67" s="116"/>
      <c r="B67" s="115"/>
      <c r="C67" s="115"/>
      <c r="D67" s="115"/>
      <c r="E67" s="115"/>
      <c r="F67" s="115"/>
      <c r="G67" s="77"/>
      <c r="H67" s="77"/>
      <c r="I67" s="77"/>
      <c r="J67" s="77"/>
      <c r="K67" s="77"/>
      <c r="L67" s="77"/>
      <c r="M67" s="77"/>
      <c r="N67" s="77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5.75" customHeight="1">
      <c r="A68" s="116"/>
      <c r="B68" s="115"/>
      <c r="C68" s="115"/>
      <c r="D68" s="115"/>
      <c r="E68" s="115"/>
      <c r="F68" s="115"/>
      <c r="G68" s="77"/>
      <c r="H68" s="77"/>
      <c r="I68" s="77"/>
      <c r="J68" s="77"/>
      <c r="K68" s="77"/>
      <c r="L68" s="77"/>
      <c r="M68" s="77"/>
      <c r="N68" s="77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5.75" customHeight="1">
      <c r="A69" s="116"/>
      <c r="B69" s="115"/>
      <c r="C69" s="115"/>
      <c r="D69" s="115"/>
      <c r="E69" s="115"/>
      <c r="F69" s="115"/>
      <c r="G69" s="77"/>
      <c r="H69" s="77"/>
      <c r="I69" s="77"/>
      <c r="J69" s="77"/>
      <c r="K69" s="77"/>
      <c r="L69" s="77"/>
      <c r="M69" s="77"/>
      <c r="N69" s="77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5.75" customHeight="1">
      <c r="A70" s="116"/>
      <c r="B70" s="115"/>
      <c r="C70" s="115"/>
      <c r="D70" s="115"/>
      <c r="E70" s="115"/>
      <c r="F70" s="115"/>
      <c r="G70" s="77"/>
      <c r="H70" s="77"/>
      <c r="I70" s="77"/>
      <c r="J70" s="77"/>
      <c r="K70" s="77"/>
      <c r="L70" s="77"/>
      <c r="M70" s="77"/>
      <c r="N70" s="77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5.75" customHeight="1">
      <c r="A71" s="116"/>
      <c r="B71" s="115"/>
      <c r="C71" s="115"/>
      <c r="D71" s="115"/>
      <c r="E71" s="115"/>
      <c r="F71" s="115"/>
      <c r="G71" s="77"/>
      <c r="H71" s="77"/>
      <c r="I71" s="77"/>
      <c r="J71" s="77"/>
      <c r="K71" s="77"/>
      <c r="L71" s="77"/>
      <c r="M71" s="77"/>
      <c r="N71" s="77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5.75" customHeight="1">
      <c r="A72" s="116"/>
      <c r="B72" s="115"/>
      <c r="C72" s="115"/>
      <c r="D72" s="115"/>
      <c r="E72" s="115"/>
      <c r="F72" s="115"/>
      <c r="G72" s="77"/>
      <c r="H72" s="77"/>
      <c r="I72" s="77"/>
      <c r="J72" s="77"/>
      <c r="K72" s="77"/>
      <c r="L72" s="77"/>
      <c r="M72" s="77"/>
      <c r="N72" s="77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5.75" customHeight="1">
      <c r="A73" s="116"/>
      <c r="B73" s="115"/>
      <c r="C73" s="115"/>
      <c r="D73" s="115"/>
      <c r="E73" s="115"/>
      <c r="F73" s="115"/>
      <c r="G73" s="77"/>
      <c r="H73" s="77"/>
      <c r="I73" s="77"/>
      <c r="J73" s="77"/>
      <c r="K73" s="77"/>
      <c r="L73" s="77"/>
      <c r="M73" s="77"/>
      <c r="N73" s="77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5.75" customHeight="1">
      <c r="A74" s="116"/>
      <c r="B74" s="115"/>
      <c r="C74" s="115"/>
      <c r="D74" s="115"/>
      <c r="E74" s="115"/>
      <c r="F74" s="115"/>
      <c r="G74" s="77"/>
      <c r="H74" s="77"/>
      <c r="I74" s="77"/>
      <c r="J74" s="77"/>
      <c r="K74" s="77"/>
      <c r="L74" s="77"/>
      <c r="M74" s="77"/>
      <c r="N74" s="77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5.75" customHeight="1">
      <c r="A75" s="116"/>
      <c r="B75" s="115"/>
      <c r="C75" s="115"/>
      <c r="D75" s="115"/>
      <c r="E75" s="115"/>
      <c r="F75" s="115"/>
      <c r="G75" s="77"/>
      <c r="H75" s="77"/>
      <c r="I75" s="77"/>
      <c r="J75" s="77"/>
      <c r="K75" s="77"/>
      <c r="L75" s="77"/>
      <c r="M75" s="77"/>
      <c r="N75" s="77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5.75" customHeight="1">
      <c r="A76" s="116"/>
      <c r="B76" s="115"/>
      <c r="C76" s="115"/>
      <c r="D76" s="115"/>
      <c r="E76" s="115"/>
      <c r="F76" s="115"/>
      <c r="G76" s="77"/>
      <c r="H76" s="77"/>
      <c r="I76" s="77"/>
      <c r="J76" s="77"/>
      <c r="K76" s="77"/>
      <c r="L76" s="77"/>
      <c r="M76" s="77"/>
      <c r="N76" s="77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5.75" customHeight="1">
      <c r="A77" s="116"/>
      <c r="B77" s="115"/>
      <c r="C77" s="115"/>
      <c r="D77" s="115"/>
      <c r="E77" s="115"/>
      <c r="F77" s="115"/>
      <c r="G77" s="77"/>
      <c r="H77" s="77"/>
      <c r="I77" s="77"/>
      <c r="J77" s="77"/>
      <c r="K77" s="77"/>
      <c r="L77" s="77"/>
      <c r="M77" s="77"/>
      <c r="N77" s="77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5.75" customHeight="1">
      <c r="A78" s="116"/>
      <c r="B78" s="115"/>
      <c r="C78" s="115"/>
      <c r="D78" s="115"/>
      <c r="E78" s="115"/>
      <c r="F78" s="115"/>
      <c r="G78" s="77"/>
      <c r="H78" s="77"/>
      <c r="I78" s="77"/>
      <c r="J78" s="77"/>
      <c r="K78" s="77"/>
      <c r="L78" s="77"/>
      <c r="M78" s="77"/>
      <c r="N78" s="77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5.75" customHeight="1">
      <c r="A79" s="116"/>
      <c r="B79" s="115"/>
      <c r="C79" s="115"/>
      <c r="D79" s="115"/>
      <c r="E79" s="115"/>
      <c r="F79" s="115"/>
      <c r="G79" s="77"/>
      <c r="H79" s="77"/>
      <c r="I79" s="77"/>
      <c r="J79" s="77"/>
      <c r="K79" s="77"/>
      <c r="L79" s="77"/>
      <c r="M79" s="77"/>
      <c r="N79" s="77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5.75" customHeight="1">
      <c r="A80" s="116"/>
      <c r="B80" s="115"/>
      <c r="C80" s="115"/>
      <c r="D80" s="115"/>
      <c r="E80" s="115"/>
      <c r="F80" s="115"/>
      <c r="G80" s="77"/>
      <c r="H80" s="77"/>
      <c r="I80" s="77"/>
      <c r="J80" s="77"/>
      <c r="K80" s="77"/>
      <c r="L80" s="77"/>
      <c r="M80" s="77"/>
      <c r="N80" s="77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5.75" customHeight="1">
      <c r="A81" s="116"/>
      <c r="B81" s="115"/>
      <c r="C81" s="115"/>
      <c r="D81" s="115"/>
      <c r="E81" s="115"/>
      <c r="F81" s="115"/>
      <c r="G81" s="77"/>
      <c r="H81" s="77"/>
      <c r="I81" s="77"/>
      <c r="J81" s="77"/>
      <c r="K81" s="77"/>
      <c r="L81" s="77"/>
      <c r="M81" s="77"/>
      <c r="N81" s="77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5.75" customHeight="1">
      <c r="A82" s="116"/>
      <c r="B82" s="115"/>
      <c r="C82" s="115"/>
      <c r="D82" s="115"/>
      <c r="E82" s="115"/>
      <c r="F82" s="115"/>
      <c r="G82" s="77"/>
      <c r="H82" s="77"/>
      <c r="I82" s="77"/>
      <c r="J82" s="77"/>
      <c r="K82" s="77"/>
      <c r="L82" s="77"/>
      <c r="M82" s="77"/>
      <c r="N82" s="77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5.75" customHeight="1">
      <c r="A83" s="116"/>
      <c r="B83" s="115"/>
      <c r="C83" s="115"/>
      <c r="D83" s="115"/>
      <c r="E83" s="115"/>
      <c r="F83" s="115"/>
      <c r="G83" s="77"/>
      <c r="H83" s="77"/>
      <c r="I83" s="77"/>
      <c r="J83" s="77"/>
      <c r="K83" s="77"/>
      <c r="L83" s="77"/>
      <c r="M83" s="77"/>
      <c r="N83" s="77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5.75" customHeight="1">
      <c r="A84" s="116"/>
      <c r="B84" s="115"/>
      <c r="C84" s="115"/>
      <c r="D84" s="115"/>
      <c r="E84" s="115"/>
      <c r="F84" s="115"/>
      <c r="G84" s="77"/>
      <c r="H84" s="77"/>
      <c r="I84" s="77"/>
      <c r="J84" s="77"/>
      <c r="K84" s="77"/>
      <c r="L84" s="77"/>
      <c r="M84" s="77"/>
      <c r="N84" s="77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5.75" customHeight="1">
      <c r="A85" s="116"/>
      <c r="B85" s="115"/>
      <c r="C85" s="115"/>
      <c r="D85" s="115"/>
      <c r="E85" s="115"/>
      <c r="F85" s="115"/>
      <c r="G85" s="77"/>
      <c r="H85" s="77"/>
      <c r="I85" s="77"/>
      <c r="J85" s="77"/>
      <c r="K85" s="77"/>
      <c r="L85" s="77"/>
      <c r="M85" s="77"/>
      <c r="N85" s="77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5.75" customHeight="1">
      <c r="A86" s="116"/>
      <c r="B86" s="115"/>
      <c r="C86" s="115"/>
      <c r="D86" s="115"/>
      <c r="E86" s="115"/>
      <c r="F86" s="115"/>
      <c r="G86" s="77"/>
      <c r="H86" s="77"/>
      <c r="I86" s="77"/>
      <c r="J86" s="77"/>
      <c r="K86" s="77"/>
      <c r="L86" s="77"/>
      <c r="M86" s="77"/>
      <c r="N86" s="77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5.75" customHeight="1">
      <c r="A87" s="116"/>
      <c r="B87" s="115"/>
      <c r="C87" s="115"/>
      <c r="D87" s="115"/>
      <c r="E87" s="115"/>
      <c r="F87" s="115"/>
      <c r="G87" s="77"/>
      <c r="H87" s="77"/>
      <c r="I87" s="77"/>
      <c r="J87" s="77"/>
      <c r="K87" s="77"/>
      <c r="L87" s="77"/>
      <c r="M87" s="77"/>
      <c r="N87" s="77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5.75" customHeight="1">
      <c r="A88" s="116"/>
      <c r="B88" s="115"/>
      <c r="C88" s="115"/>
      <c r="D88" s="115"/>
      <c r="E88" s="115"/>
      <c r="F88" s="115"/>
      <c r="G88" s="77"/>
      <c r="H88" s="77"/>
      <c r="I88" s="77"/>
      <c r="J88" s="77"/>
      <c r="K88" s="77"/>
      <c r="L88" s="77"/>
      <c r="M88" s="77"/>
      <c r="N88" s="77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5.75" customHeight="1">
      <c r="A89" s="116"/>
      <c r="B89" s="115"/>
      <c r="C89" s="115"/>
      <c r="D89" s="115"/>
      <c r="E89" s="115"/>
      <c r="F89" s="115"/>
      <c r="G89" s="77"/>
      <c r="H89" s="77"/>
      <c r="I89" s="77"/>
      <c r="J89" s="77"/>
      <c r="K89" s="77"/>
      <c r="L89" s="77"/>
      <c r="M89" s="77"/>
      <c r="N89" s="77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5.75" customHeight="1">
      <c r="A90" s="116"/>
      <c r="B90" s="115"/>
      <c r="C90" s="115"/>
      <c r="D90" s="115"/>
      <c r="E90" s="115"/>
      <c r="F90" s="115"/>
      <c r="G90" s="77"/>
      <c r="H90" s="77"/>
      <c r="I90" s="77"/>
      <c r="J90" s="77"/>
      <c r="K90" s="77"/>
      <c r="L90" s="77"/>
      <c r="M90" s="77"/>
      <c r="N90" s="77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5.75" customHeight="1">
      <c r="A91" s="116"/>
      <c r="B91" s="115"/>
      <c r="C91" s="115"/>
      <c r="D91" s="115"/>
      <c r="E91" s="115"/>
      <c r="F91" s="115"/>
      <c r="G91" s="77"/>
      <c r="H91" s="77"/>
      <c r="I91" s="77"/>
      <c r="J91" s="77"/>
      <c r="K91" s="77"/>
      <c r="L91" s="77"/>
      <c r="M91" s="77"/>
      <c r="N91" s="77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5.75" customHeight="1">
      <c r="A92" s="116"/>
      <c r="B92" s="115"/>
      <c r="C92" s="115"/>
      <c r="D92" s="115"/>
      <c r="E92" s="115"/>
      <c r="F92" s="115"/>
      <c r="G92" s="77"/>
      <c r="H92" s="77"/>
      <c r="I92" s="77"/>
      <c r="J92" s="77"/>
      <c r="K92" s="77"/>
      <c r="L92" s="77"/>
      <c r="M92" s="77"/>
      <c r="N92" s="77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5.75" customHeight="1">
      <c r="A93" s="116"/>
      <c r="B93" s="115"/>
      <c r="C93" s="115"/>
      <c r="D93" s="115"/>
      <c r="E93" s="115"/>
      <c r="F93" s="115"/>
      <c r="G93" s="77"/>
      <c r="H93" s="77"/>
      <c r="I93" s="77"/>
      <c r="J93" s="77"/>
      <c r="K93" s="77"/>
      <c r="L93" s="77"/>
      <c r="M93" s="77"/>
      <c r="N93" s="77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5.75" customHeight="1">
      <c r="A94" s="116"/>
      <c r="B94" s="115"/>
      <c r="C94" s="115"/>
      <c r="D94" s="115"/>
      <c r="E94" s="115"/>
      <c r="F94" s="115"/>
      <c r="G94" s="77"/>
      <c r="H94" s="77"/>
      <c r="I94" s="77"/>
      <c r="J94" s="77"/>
      <c r="K94" s="77"/>
      <c r="L94" s="77"/>
      <c r="M94" s="77"/>
      <c r="N94" s="77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5.75" customHeight="1">
      <c r="A95" s="116"/>
      <c r="B95" s="115"/>
      <c r="C95" s="115"/>
      <c r="D95" s="115"/>
      <c r="E95" s="115"/>
      <c r="F95" s="115"/>
      <c r="G95" s="77"/>
      <c r="H95" s="77"/>
      <c r="I95" s="77"/>
      <c r="J95" s="77"/>
      <c r="K95" s="77"/>
      <c r="L95" s="77"/>
      <c r="M95" s="77"/>
      <c r="N95" s="77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5.75" customHeight="1">
      <c r="A96" s="116"/>
      <c r="B96" s="115"/>
      <c r="C96" s="115"/>
      <c r="D96" s="115"/>
      <c r="E96" s="115"/>
      <c r="F96" s="115"/>
      <c r="G96" s="77"/>
      <c r="H96" s="77"/>
      <c r="I96" s="77"/>
      <c r="J96" s="77"/>
      <c r="K96" s="77"/>
      <c r="L96" s="77"/>
      <c r="M96" s="77"/>
      <c r="N96" s="77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5.75" customHeight="1">
      <c r="A97" s="116"/>
      <c r="B97" s="115"/>
      <c r="C97" s="115"/>
      <c r="D97" s="115"/>
      <c r="E97" s="115"/>
      <c r="F97" s="115"/>
      <c r="G97" s="77"/>
      <c r="H97" s="77"/>
      <c r="I97" s="77"/>
      <c r="J97" s="77"/>
      <c r="K97" s="77"/>
      <c r="L97" s="77"/>
      <c r="M97" s="77"/>
      <c r="N97" s="77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5.75" customHeight="1">
      <c r="A98" s="116"/>
      <c r="B98" s="115"/>
      <c r="C98" s="115"/>
      <c r="D98" s="115"/>
      <c r="E98" s="115"/>
      <c r="F98" s="115"/>
      <c r="G98" s="77"/>
      <c r="H98" s="77"/>
      <c r="I98" s="77"/>
      <c r="J98" s="77"/>
      <c r="K98" s="77"/>
      <c r="L98" s="77"/>
      <c r="M98" s="77"/>
      <c r="N98" s="77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5.75" customHeight="1">
      <c r="A99" s="116"/>
      <c r="B99" s="115"/>
      <c r="C99" s="115"/>
      <c r="D99" s="115"/>
      <c r="E99" s="115"/>
      <c r="F99" s="115"/>
      <c r="G99" s="77"/>
      <c r="H99" s="77"/>
      <c r="I99" s="77"/>
      <c r="J99" s="77"/>
      <c r="K99" s="77"/>
      <c r="L99" s="77"/>
      <c r="M99" s="77"/>
      <c r="N99" s="77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5.75" customHeight="1">
      <c r="A100" s="116"/>
      <c r="B100" s="115"/>
      <c r="C100" s="115"/>
      <c r="D100" s="115"/>
      <c r="E100" s="115"/>
      <c r="F100" s="115"/>
      <c r="G100" s="77"/>
      <c r="H100" s="77"/>
      <c r="I100" s="77"/>
      <c r="J100" s="77"/>
      <c r="K100" s="77"/>
      <c r="L100" s="77"/>
      <c r="M100" s="77"/>
      <c r="N100" s="77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ht="15.75" customHeight="1">
      <c r="A101" s="116"/>
      <c r="B101" s="115"/>
      <c r="C101" s="115"/>
      <c r="D101" s="115"/>
      <c r="E101" s="115"/>
      <c r="F101" s="115"/>
      <c r="G101" s="77"/>
      <c r="H101" s="77"/>
      <c r="I101" s="77"/>
      <c r="J101" s="77"/>
      <c r="K101" s="77"/>
      <c r="L101" s="77"/>
      <c r="M101" s="77"/>
      <c r="N101" s="77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ht="15.75" customHeight="1">
      <c r="A102" s="116"/>
      <c r="B102" s="115"/>
      <c r="C102" s="115"/>
      <c r="D102" s="115"/>
      <c r="E102" s="115"/>
      <c r="F102" s="115"/>
      <c r="G102" s="77"/>
      <c r="H102" s="77"/>
      <c r="I102" s="77"/>
      <c r="J102" s="77"/>
      <c r="K102" s="77"/>
      <c r="L102" s="77"/>
      <c r="M102" s="77"/>
      <c r="N102" s="77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ht="15.75" customHeight="1">
      <c r="A103" s="116"/>
      <c r="B103" s="115"/>
      <c r="C103" s="115"/>
      <c r="D103" s="115"/>
      <c r="E103" s="115"/>
      <c r="F103" s="115"/>
      <c r="G103" s="77"/>
      <c r="H103" s="77"/>
      <c r="I103" s="77"/>
      <c r="J103" s="77"/>
      <c r="K103" s="77"/>
      <c r="L103" s="77"/>
      <c r="M103" s="77"/>
      <c r="N103" s="77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ht="15.75" customHeight="1">
      <c r="A104" s="116"/>
      <c r="B104" s="115"/>
      <c r="C104" s="115"/>
      <c r="D104" s="115"/>
      <c r="E104" s="115"/>
      <c r="F104" s="115"/>
      <c r="G104" s="77"/>
      <c r="H104" s="77"/>
      <c r="I104" s="77"/>
      <c r="J104" s="77"/>
      <c r="K104" s="77"/>
      <c r="L104" s="77"/>
      <c r="M104" s="77"/>
      <c r="N104" s="77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ht="15.75" customHeight="1">
      <c r="A105" s="116"/>
      <c r="B105" s="115"/>
      <c r="C105" s="115"/>
      <c r="D105" s="115"/>
      <c r="E105" s="115"/>
      <c r="F105" s="115"/>
      <c r="G105" s="77"/>
      <c r="H105" s="77"/>
      <c r="I105" s="77"/>
      <c r="J105" s="77"/>
      <c r="K105" s="77"/>
      <c r="L105" s="77"/>
      <c r="M105" s="77"/>
      <c r="N105" s="77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ht="15.75" customHeight="1">
      <c r="A106" s="116"/>
      <c r="B106" s="115"/>
      <c r="C106" s="115"/>
      <c r="D106" s="115"/>
      <c r="E106" s="115"/>
      <c r="F106" s="115"/>
      <c r="G106" s="77"/>
      <c r="H106" s="77"/>
      <c r="I106" s="77"/>
      <c r="J106" s="77"/>
      <c r="K106" s="77"/>
      <c r="L106" s="77"/>
      <c r="M106" s="77"/>
      <c r="N106" s="77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ht="15.75" customHeight="1">
      <c r="A107" s="116"/>
      <c r="B107" s="115"/>
      <c r="C107" s="115"/>
      <c r="D107" s="115"/>
      <c r="E107" s="115"/>
      <c r="F107" s="115"/>
      <c r="G107" s="77"/>
      <c r="H107" s="77"/>
      <c r="I107" s="77"/>
      <c r="J107" s="77"/>
      <c r="K107" s="77"/>
      <c r="L107" s="77"/>
      <c r="M107" s="77"/>
      <c r="N107" s="77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ht="15.75" customHeight="1">
      <c r="A108" s="116"/>
      <c r="B108" s="115"/>
      <c r="C108" s="115"/>
      <c r="D108" s="115"/>
      <c r="E108" s="115"/>
      <c r="F108" s="115"/>
      <c r="G108" s="77"/>
      <c r="H108" s="77"/>
      <c r="I108" s="77"/>
      <c r="J108" s="77"/>
      <c r="K108" s="77"/>
      <c r="L108" s="77"/>
      <c r="M108" s="77"/>
      <c r="N108" s="77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ht="15.75" customHeight="1">
      <c r="A109" s="116"/>
      <c r="B109" s="115"/>
      <c r="C109" s="115"/>
      <c r="D109" s="115"/>
      <c r="E109" s="115"/>
      <c r="F109" s="115"/>
      <c r="G109" s="77"/>
      <c r="H109" s="77"/>
      <c r="I109" s="77"/>
      <c r="J109" s="77"/>
      <c r="K109" s="77"/>
      <c r="L109" s="77"/>
      <c r="M109" s="77"/>
      <c r="N109" s="77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ht="15.75" customHeight="1">
      <c r="A110" s="116"/>
      <c r="B110" s="115"/>
      <c r="C110" s="115"/>
      <c r="D110" s="115"/>
      <c r="E110" s="115"/>
      <c r="F110" s="115"/>
      <c r="G110" s="77"/>
      <c r="H110" s="77"/>
      <c r="I110" s="77"/>
      <c r="J110" s="77"/>
      <c r="K110" s="77"/>
      <c r="L110" s="77"/>
      <c r="M110" s="77"/>
      <c r="N110" s="77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ht="15.75" customHeight="1">
      <c r="A111" s="116"/>
      <c r="B111" s="115"/>
      <c r="C111" s="115"/>
      <c r="D111" s="115"/>
      <c r="E111" s="115"/>
      <c r="F111" s="115"/>
      <c r="G111" s="77"/>
      <c r="H111" s="77"/>
      <c r="I111" s="77"/>
      <c r="J111" s="77"/>
      <c r="K111" s="77"/>
      <c r="L111" s="77"/>
      <c r="M111" s="77"/>
      <c r="N111" s="77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ht="15.75" customHeight="1">
      <c r="A112" s="116"/>
      <c r="B112" s="115"/>
      <c r="C112" s="115"/>
      <c r="D112" s="115"/>
      <c r="E112" s="115"/>
      <c r="F112" s="115"/>
      <c r="G112" s="77"/>
      <c r="H112" s="77"/>
      <c r="I112" s="77"/>
      <c r="J112" s="77"/>
      <c r="K112" s="77"/>
      <c r="L112" s="77"/>
      <c r="M112" s="77"/>
      <c r="N112" s="77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ht="15.75" customHeight="1">
      <c r="A113" s="116"/>
      <c r="B113" s="115"/>
      <c r="C113" s="115"/>
      <c r="D113" s="115"/>
      <c r="E113" s="115"/>
      <c r="F113" s="115"/>
      <c r="G113" s="77"/>
      <c r="H113" s="77"/>
      <c r="I113" s="77"/>
      <c r="J113" s="77"/>
      <c r="K113" s="77"/>
      <c r="L113" s="77"/>
      <c r="M113" s="77"/>
      <c r="N113" s="77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ht="15.75" customHeight="1">
      <c r="A114" s="116"/>
      <c r="B114" s="115"/>
      <c r="C114" s="115"/>
      <c r="D114" s="115"/>
      <c r="E114" s="115"/>
      <c r="F114" s="115"/>
      <c r="G114" s="77"/>
      <c r="H114" s="77"/>
      <c r="I114" s="77"/>
      <c r="J114" s="77"/>
      <c r="K114" s="77"/>
      <c r="L114" s="77"/>
      <c r="M114" s="77"/>
      <c r="N114" s="77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ht="15.75" customHeight="1">
      <c r="A115" s="116"/>
      <c r="B115" s="115"/>
      <c r="C115" s="115"/>
      <c r="D115" s="115"/>
      <c r="E115" s="115"/>
      <c r="F115" s="115"/>
      <c r="G115" s="77"/>
      <c r="H115" s="77"/>
      <c r="I115" s="77"/>
      <c r="J115" s="77"/>
      <c r="K115" s="77"/>
      <c r="L115" s="77"/>
      <c r="M115" s="77"/>
      <c r="N115" s="77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ht="15.75" customHeight="1">
      <c r="A116" s="116"/>
      <c r="B116" s="115"/>
      <c r="C116" s="115"/>
      <c r="D116" s="115"/>
      <c r="E116" s="115"/>
      <c r="F116" s="115"/>
      <c r="G116" s="77"/>
      <c r="H116" s="77"/>
      <c r="I116" s="77"/>
      <c r="J116" s="77"/>
      <c r="K116" s="77"/>
      <c r="L116" s="77"/>
      <c r="M116" s="77"/>
      <c r="N116" s="77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ht="15.75" customHeight="1">
      <c r="A117" s="116"/>
      <c r="B117" s="115"/>
      <c r="C117" s="115"/>
      <c r="D117" s="115"/>
      <c r="E117" s="115"/>
      <c r="F117" s="115"/>
      <c r="G117" s="77"/>
      <c r="H117" s="77"/>
      <c r="I117" s="77"/>
      <c r="J117" s="77"/>
      <c r="K117" s="77"/>
      <c r="L117" s="77"/>
      <c r="M117" s="77"/>
      <c r="N117" s="77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ht="15.75" customHeight="1">
      <c r="A118" s="116"/>
      <c r="B118" s="115"/>
      <c r="C118" s="115"/>
      <c r="D118" s="115"/>
      <c r="E118" s="115"/>
      <c r="F118" s="115"/>
      <c r="G118" s="77"/>
      <c r="H118" s="77"/>
      <c r="I118" s="77"/>
      <c r="J118" s="77"/>
      <c r="K118" s="77"/>
      <c r="L118" s="77"/>
      <c r="M118" s="77"/>
      <c r="N118" s="77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ht="15.75" customHeight="1">
      <c r="A119" s="116"/>
      <c r="B119" s="115"/>
      <c r="C119" s="115"/>
      <c r="D119" s="115"/>
      <c r="E119" s="115"/>
      <c r="F119" s="115"/>
      <c r="G119" s="77"/>
      <c r="H119" s="77"/>
      <c r="I119" s="77"/>
      <c r="J119" s="77"/>
      <c r="K119" s="77"/>
      <c r="L119" s="77"/>
      <c r="M119" s="77"/>
      <c r="N119" s="77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ht="15.75" customHeight="1">
      <c r="A120" s="116"/>
      <c r="B120" s="115"/>
      <c r="C120" s="115"/>
      <c r="D120" s="115"/>
      <c r="E120" s="115"/>
      <c r="F120" s="115"/>
      <c r="G120" s="77"/>
      <c r="H120" s="77"/>
      <c r="I120" s="77"/>
      <c r="J120" s="77"/>
      <c r="K120" s="77"/>
      <c r="L120" s="77"/>
      <c r="M120" s="77"/>
      <c r="N120" s="77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ht="15.75" customHeight="1">
      <c r="A121" s="116"/>
      <c r="B121" s="115"/>
      <c r="C121" s="115"/>
      <c r="D121" s="115"/>
      <c r="E121" s="115"/>
      <c r="F121" s="115"/>
      <c r="G121" s="77"/>
      <c r="H121" s="77"/>
      <c r="I121" s="77"/>
      <c r="J121" s="77"/>
      <c r="K121" s="77"/>
      <c r="L121" s="77"/>
      <c r="M121" s="77"/>
      <c r="N121" s="77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ht="15.75" customHeight="1">
      <c r="A122" s="116"/>
      <c r="B122" s="115"/>
      <c r="C122" s="115"/>
      <c r="D122" s="115"/>
      <c r="E122" s="115"/>
      <c r="F122" s="115"/>
      <c r="G122" s="77"/>
      <c r="H122" s="77"/>
      <c r="I122" s="77"/>
      <c r="J122" s="77"/>
      <c r="K122" s="77"/>
      <c r="L122" s="77"/>
      <c r="M122" s="77"/>
      <c r="N122" s="77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ht="15.75" customHeight="1">
      <c r="A123" s="116"/>
      <c r="B123" s="115"/>
      <c r="C123" s="115"/>
      <c r="D123" s="115"/>
      <c r="E123" s="115"/>
      <c r="F123" s="115"/>
      <c r="G123" s="77"/>
      <c r="H123" s="77"/>
      <c r="I123" s="77"/>
      <c r="J123" s="77"/>
      <c r="K123" s="77"/>
      <c r="L123" s="77"/>
      <c r="M123" s="77"/>
      <c r="N123" s="77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ht="15.75" customHeight="1">
      <c r="A124" s="116"/>
      <c r="B124" s="115"/>
      <c r="C124" s="115"/>
      <c r="D124" s="115"/>
      <c r="E124" s="115"/>
      <c r="F124" s="115"/>
      <c r="G124" s="77"/>
      <c r="H124" s="77"/>
      <c r="I124" s="77"/>
      <c r="J124" s="77"/>
      <c r="K124" s="77"/>
      <c r="L124" s="77"/>
      <c r="M124" s="77"/>
      <c r="N124" s="77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ht="15.75" customHeight="1">
      <c r="A125" s="116"/>
      <c r="B125" s="115"/>
      <c r="C125" s="115"/>
      <c r="D125" s="115"/>
      <c r="E125" s="115"/>
      <c r="F125" s="115"/>
      <c r="G125" s="77"/>
      <c r="H125" s="77"/>
      <c r="I125" s="77"/>
      <c r="J125" s="77"/>
      <c r="K125" s="77"/>
      <c r="L125" s="77"/>
      <c r="M125" s="77"/>
      <c r="N125" s="77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ht="15.75" customHeight="1">
      <c r="A126" s="116"/>
      <c r="B126" s="115"/>
      <c r="C126" s="115"/>
      <c r="D126" s="115"/>
      <c r="E126" s="115"/>
      <c r="F126" s="115"/>
      <c r="G126" s="77"/>
      <c r="H126" s="77"/>
      <c r="I126" s="77"/>
      <c r="J126" s="77"/>
      <c r="K126" s="77"/>
      <c r="L126" s="77"/>
      <c r="M126" s="77"/>
      <c r="N126" s="77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ht="15.75" customHeight="1">
      <c r="A127" s="116"/>
      <c r="B127" s="115"/>
      <c r="C127" s="115"/>
      <c r="D127" s="115"/>
      <c r="E127" s="115"/>
      <c r="F127" s="115"/>
      <c r="G127" s="77"/>
      <c r="H127" s="77"/>
      <c r="I127" s="77"/>
      <c r="J127" s="77"/>
      <c r="K127" s="77"/>
      <c r="L127" s="77"/>
      <c r="M127" s="77"/>
      <c r="N127" s="77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ht="15.75" customHeight="1">
      <c r="A128" s="116"/>
      <c r="B128" s="115"/>
      <c r="C128" s="115"/>
      <c r="D128" s="115"/>
      <c r="E128" s="115"/>
      <c r="F128" s="115"/>
      <c r="G128" s="77"/>
      <c r="H128" s="77"/>
      <c r="I128" s="77"/>
      <c r="J128" s="77"/>
      <c r="K128" s="77"/>
      <c r="L128" s="77"/>
      <c r="M128" s="77"/>
      <c r="N128" s="77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ht="15.75" customHeight="1">
      <c r="A129" s="116"/>
      <c r="B129" s="115"/>
      <c r="C129" s="115"/>
      <c r="D129" s="115"/>
      <c r="E129" s="115"/>
      <c r="F129" s="115"/>
      <c r="G129" s="77"/>
      <c r="H129" s="77"/>
      <c r="I129" s="77"/>
      <c r="J129" s="77"/>
      <c r="K129" s="77"/>
      <c r="L129" s="77"/>
      <c r="M129" s="77"/>
      <c r="N129" s="77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ht="15.75" customHeight="1">
      <c r="A130" s="116"/>
      <c r="B130" s="115"/>
      <c r="C130" s="115"/>
      <c r="D130" s="115"/>
      <c r="E130" s="115"/>
      <c r="F130" s="115"/>
      <c r="G130" s="77"/>
      <c r="H130" s="77"/>
      <c r="I130" s="77"/>
      <c r="J130" s="77"/>
      <c r="K130" s="77"/>
      <c r="L130" s="77"/>
      <c r="M130" s="77"/>
      <c r="N130" s="77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ht="15.75" customHeight="1">
      <c r="A131" s="116"/>
      <c r="B131" s="115"/>
      <c r="C131" s="115"/>
      <c r="D131" s="115"/>
      <c r="E131" s="115"/>
      <c r="F131" s="115"/>
      <c r="G131" s="77"/>
      <c r="H131" s="77"/>
      <c r="I131" s="77"/>
      <c r="J131" s="77"/>
      <c r="K131" s="77"/>
      <c r="L131" s="77"/>
      <c r="M131" s="77"/>
      <c r="N131" s="77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ht="15.75" customHeight="1">
      <c r="A132" s="116"/>
      <c r="B132" s="115"/>
      <c r="C132" s="115"/>
      <c r="D132" s="115"/>
      <c r="E132" s="115"/>
      <c r="F132" s="115"/>
      <c r="G132" s="77"/>
      <c r="H132" s="77"/>
      <c r="I132" s="77"/>
      <c r="J132" s="77"/>
      <c r="K132" s="77"/>
      <c r="L132" s="77"/>
      <c r="M132" s="77"/>
      <c r="N132" s="77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ht="15.75" customHeight="1">
      <c r="A133" s="116"/>
      <c r="B133" s="115"/>
      <c r="C133" s="115"/>
      <c r="D133" s="115"/>
      <c r="E133" s="115"/>
      <c r="F133" s="115"/>
      <c r="G133" s="77"/>
      <c r="H133" s="77"/>
      <c r="I133" s="77"/>
      <c r="J133" s="77"/>
      <c r="K133" s="77"/>
      <c r="L133" s="77"/>
      <c r="M133" s="77"/>
      <c r="N133" s="77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ht="15.75" customHeight="1">
      <c r="A134" s="116"/>
      <c r="B134" s="115"/>
      <c r="C134" s="115"/>
      <c r="D134" s="115"/>
      <c r="E134" s="115"/>
      <c r="F134" s="115"/>
      <c r="G134" s="77"/>
      <c r="H134" s="77"/>
      <c r="I134" s="77"/>
      <c r="J134" s="77"/>
      <c r="K134" s="77"/>
      <c r="L134" s="77"/>
      <c r="M134" s="77"/>
      <c r="N134" s="77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ht="15.75" customHeight="1">
      <c r="A135" s="116"/>
      <c r="B135" s="115"/>
      <c r="C135" s="115"/>
      <c r="D135" s="115"/>
      <c r="E135" s="115"/>
      <c r="F135" s="115"/>
      <c r="G135" s="77"/>
      <c r="H135" s="77"/>
      <c r="I135" s="77"/>
      <c r="J135" s="77"/>
      <c r="K135" s="77"/>
      <c r="L135" s="77"/>
      <c r="M135" s="77"/>
      <c r="N135" s="77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ht="15.75" customHeight="1">
      <c r="A136" s="116"/>
      <c r="B136" s="115"/>
      <c r="C136" s="115"/>
      <c r="D136" s="115"/>
      <c r="E136" s="115"/>
      <c r="F136" s="115"/>
      <c r="G136" s="77"/>
      <c r="H136" s="77"/>
      <c r="I136" s="77"/>
      <c r="J136" s="77"/>
      <c r="K136" s="77"/>
      <c r="L136" s="77"/>
      <c r="M136" s="77"/>
      <c r="N136" s="77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ht="15.75" customHeight="1">
      <c r="A137" s="116"/>
      <c r="B137" s="115"/>
      <c r="C137" s="115"/>
      <c r="D137" s="115"/>
      <c r="E137" s="115"/>
      <c r="F137" s="115"/>
      <c r="G137" s="77"/>
      <c r="H137" s="77"/>
      <c r="I137" s="77"/>
      <c r="J137" s="77"/>
      <c r="K137" s="77"/>
      <c r="L137" s="77"/>
      <c r="M137" s="77"/>
      <c r="N137" s="77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ht="15.75" customHeight="1">
      <c r="A138" s="116"/>
      <c r="B138" s="115"/>
      <c r="C138" s="115"/>
      <c r="D138" s="115"/>
      <c r="E138" s="115"/>
      <c r="F138" s="115"/>
      <c r="G138" s="77"/>
      <c r="H138" s="77"/>
      <c r="I138" s="77"/>
      <c r="J138" s="77"/>
      <c r="K138" s="77"/>
      <c r="L138" s="77"/>
      <c r="M138" s="77"/>
      <c r="N138" s="77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ht="15.75" customHeight="1">
      <c r="A139" s="116"/>
      <c r="B139" s="115"/>
      <c r="C139" s="115"/>
      <c r="D139" s="115"/>
      <c r="E139" s="115"/>
      <c r="F139" s="115"/>
      <c r="G139" s="77"/>
      <c r="H139" s="77"/>
      <c r="I139" s="77"/>
      <c r="J139" s="77"/>
      <c r="K139" s="77"/>
      <c r="L139" s="77"/>
      <c r="M139" s="77"/>
      <c r="N139" s="77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ht="15.75" customHeight="1">
      <c r="A140" s="116"/>
      <c r="B140" s="115"/>
      <c r="C140" s="115"/>
      <c r="D140" s="115"/>
      <c r="E140" s="115"/>
      <c r="F140" s="115"/>
      <c r="G140" s="77"/>
      <c r="H140" s="77"/>
      <c r="I140" s="77"/>
      <c r="J140" s="77"/>
      <c r="K140" s="77"/>
      <c r="L140" s="77"/>
      <c r="M140" s="77"/>
      <c r="N140" s="77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ht="15.75" customHeight="1">
      <c r="A141" s="116"/>
      <c r="B141" s="115"/>
      <c r="C141" s="115"/>
      <c r="D141" s="115"/>
      <c r="E141" s="115"/>
      <c r="F141" s="115"/>
      <c r="G141" s="77"/>
      <c r="H141" s="77"/>
      <c r="I141" s="77"/>
      <c r="J141" s="77"/>
      <c r="K141" s="77"/>
      <c r="L141" s="77"/>
      <c r="M141" s="77"/>
      <c r="N141" s="77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ht="15.75" customHeight="1">
      <c r="A142" s="116"/>
      <c r="B142" s="115"/>
      <c r="C142" s="115"/>
      <c r="D142" s="115"/>
      <c r="E142" s="115"/>
      <c r="F142" s="115"/>
      <c r="G142" s="77"/>
      <c r="H142" s="77"/>
      <c r="I142" s="77"/>
      <c r="J142" s="77"/>
      <c r="K142" s="77"/>
      <c r="L142" s="77"/>
      <c r="M142" s="77"/>
      <c r="N142" s="77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ht="15.75" customHeight="1">
      <c r="A143" s="116"/>
      <c r="B143" s="115"/>
      <c r="C143" s="115"/>
      <c r="D143" s="115"/>
      <c r="E143" s="115"/>
      <c r="F143" s="115"/>
      <c r="G143" s="77"/>
      <c r="H143" s="77"/>
      <c r="I143" s="77"/>
      <c r="J143" s="77"/>
      <c r="K143" s="77"/>
      <c r="L143" s="77"/>
      <c r="M143" s="77"/>
      <c r="N143" s="77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ht="15.75" customHeight="1">
      <c r="A144" s="116"/>
      <c r="B144" s="115"/>
      <c r="C144" s="115"/>
      <c r="D144" s="115"/>
      <c r="E144" s="115"/>
      <c r="F144" s="115"/>
      <c r="G144" s="77"/>
      <c r="H144" s="77"/>
      <c r="I144" s="77"/>
      <c r="J144" s="77"/>
      <c r="K144" s="77"/>
      <c r="L144" s="77"/>
      <c r="M144" s="77"/>
      <c r="N144" s="77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ht="15.75" customHeight="1">
      <c r="A145" s="116"/>
      <c r="B145" s="115"/>
      <c r="C145" s="115"/>
      <c r="D145" s="115"/>
      <c r="E145" s="115"/>
      <c r="F145" s="115"/>
      <c r="G145" s="77"/>
      <c r="H145" s="77"/>
      <c r="I145" s="77"/>
      <c r="J145" s="77"/>
      <c r="K145" s="77"/>
      <c r="L145" s="77"/>
      <c r="M145" s="77"/>
      <c r="N145" s="77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ht="15.75" customHeight="1">
      <c r="A146" s="116"/>
      <c r="B146" s="115"/>
      <c r="C146" s="115"/>
      <c r="D146" s="115"/>
      <c r="E146" s="115"/>
      <c r="F146" s="115"/>
      <c r="G146" s="77"/>
      <c r="H146" s="77"/>
      <c r="I146" s="77"/>
      <c r="J146" s="77"/>
      <c r="K146" s="77"/>
      <c r="L146" s="77"/>
      <c r="M146" s="77"/>
      <c r="N146" s="77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ht="15.75" customHeight="1">
      <c r="A147" s="116"/>
      <c r="B147" s="115"/>
      <c r="C147" s="115"/>
      <c r="D147" s="115"/>
      <c r="E147" s="115"/>
      <c r="F147" s="115"/>
      <c r="G147" s="77"/>
      <c r="H147" s="77"/>
      <c r="I147" s="77"/>
      <c r="J147" s="77"/>
      <c r="K147" s="77"/>
      <c r="L147" s="77"/>
      <c r="M147" s="77"/>
      <c r="N147" s="77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ht="15.75" customHeight="1">
      <c r="A148" s="116"/>
      <c r="B148" s="115"/>
      <c r="C148" s="115"/>
      <c r="D148" s="115"/>
      <c r="E148" s="115"/>
      <c r="F148" s="115"/>
      <c r="G148" s="77"/>
      <c r="H148" s="77"/>
      <c r="I148" s="77"/>
      <c r="J148" s="77"/>
      <c r="K148" s="77"/>
      <c r="L148" s="77"/>
      <c r="M148" s="77"/>
      <c r="N148" s="77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ht="15.75" customHeight="1">
      <c r="A149" s="116"/>
      <c r="B149" s="115"/>
      <c r="C149" s="115"/>
      <c r="D149" s="115"/>
      <c r="E149" s="115"/>
      <c r="F149" s="115"/>
      <c r="G149" s="77"/>
      <c r="H149" s="77"/>
      <c r="I149" s="77"/>
      <c r="J149" s="77"/>
      <c r="K149" s="77"/>
      <c r="L149" s="77"/>
      <c r="M149" s="77"/>
      <c r="N149" s="77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ht="15.75" customHeight="1">
      <c r="A150" s="116"/>
      <c r="B150" s="115"/>
      <c r="C150" s="115"/>
      <c r="D150" s="115"/>
      <c r="E150" s="115"/>
      <c r="F150" s="115"/>
      <c r="G150" s="77"/>
      <c r="H150" s="77"/>
      <c r="I150" s="77"/>
      <c r="J150" s="77"/>
      <c r="K150" s="77"/>
      <c r="L150" s="77"/>
      <c r="M150" s="77"/>
      <c r="N150" s="77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ht="15.75" customHeight="1">
      <c r="A151" s="116"/>
      <c r="B151" s="115"/>
      <c r="C151" s="115"/>
      <c r="D151" s="115"/>
      <c r="E151" s="115"/>
      <c r="F151" s="115"/>
      <c r="G151" s="77"/>
      <c r="H151" s="77"/>
      <c r="I151" s="77"/>
      <c r="J151" s="77"/>
      <c r="K151" s="77"/>
      <c r="L151" s="77"/>
      <c r="M151" s="77"/>
      <c r="N151" s="77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ht="15.75" customHeight="1">
      <c r="A152" s="116"/>
      <c r="B152" s="115"/>
      <c r="C152" s="115"/>
      <c r="D152" s="115"/>
      <c r="E152" s="115"/>
      <c r="F152" s="115"/>
      <c r="G152" s="77"/>
      <c r="H152" s="77"/>
      <c r="I152" s="77"/>
      <c r="J152" s="77"/>
      <c r="K152" s="77"/>
      <c r="L152" s="77"/>
      <c r="M152" s="77"/>
      <c r="N152" s="77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ht="15.75" customHeight="1">
      <c r="A153" s="116"/>
      <c r="B153" s="115"/>
      <c r="C153" s="115"/>
      <c r="D153" s="115"/>
      <c r="E153" s="115"/>
      <c r="F153" s="115"/>
      <c r="G153" s="77"/>
      <c r="H153" s="77"/>
      <c r="I153" s="77"/>
      <c r="J153" s="77"/>
      <c r="K153" s="77"/>
      <c r="L153" s="77"/>
      <c r="M153" s="77"/>
      <c r="N153" s="77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ht="15.75" customHeight="1">
      <c r="A154" s="116"/>
      <c r="B154" s="115"/>
      <c r="C154" s="115"/>
      <c r="D154" s="115"/>
      <c r="E154" s="115"/>
      <c r="F154" s="115"/>
      <c r="G154" s="77"/>
      <c r="H154" s="77"/>
      <c r="I154" s="77"/>
      <c r="J154" s="77"/>
      <c r="K154" s="77"/>
      <c r="L154" s="77"/>
      <c r="M154" s="77"/>
      <c r="N154" s="77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ht="15.75" customHeight="1">
      <c r="A155" s="116"/>
      <c r="B155" s="115"/>
      <c r="C155" s="115"/>
      <c r="D155" s="115"/>
      <c r="E155" s="115"/>
      <c r="F155" s="115"/>
      <c r="G155" s="77"/>
      <c r="H155" s="77"/>
      <c r="I155" s="77"/>
      <c r="J155" s="77"/>
      <c r="K155" s="77"/>
      <c r="L155" s="77"/>
      <c r="M155" s="77"/>
      <c r="N155" s="77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ht="15.75" customHeight="1">
      <c r="A156" s="116"/>
      <c r="B156" s="115"/>
      <c r="C156" s="115"/>
      <c r="D156" s="115"/>
      <c r="E156" s="115"/>
      <c r="F156" s="115"/>
      <c r="G156" s="77"/>
      <c r="H156" s="77"/>
      <c r="I156" s="77"/>
      <c r="J156" s="77"/>
      <c r="K156" s="77"/>
      <c r="L156" s="77"/>
      <c r="M156" s="77"/>
      <c r="N156" s="77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ht="15.75" customHeight="1">
      <c r="A157" s="116"/>
      <c r="B157" s="115"/>
      <c r="C157" s="115"/>
      <c r="D157" s="115"/>
      <c r="E157" s="115"/>
      <c r="F157" s="115"/>
      <c r="G157" s="77"/>
      <c r="H157" s="77"/>
      <c r="I157" s="77"/>
      <c r="J157" s="77"/>
      <c r="K157" s="77"/>
      <c r="L157" s="77"/>
      <c r="M157" s="77"/>
      <c r="N157" s="77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ht="15.75" customHeight="1">
      <c r="A158" s="116"/>
      <c r="B158" s="115"/>
      <c r="C158" s="115"/>
      <c r="D158" s="115"/>
      <c r="E158" s="115"/>
      <c r="F158" s="115"/>
      <c r="G158" s="77"/>
      <c r="H158" s="77"/>
      <c r="I158" s="77"/>
      <c r="J158" s="77"/>
      <c r="K158" s="77"/>
      <c r="L158" s="77"/>
      <c r="M158" s="77"/>
      <c r="N158" s="77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ht="15.75" customHeight="1">
      <c r="A159" s="116"/>
      <c r="B159" s="115"/>
      <c r="C159" s="115"/>
      <c r="D159" s="115"/>
      <c r="E159" s="115"/>
      <c r="F159" s="115"/>
      <c r="G159" s="77"/>
      <c r="H159" s="77"/>
      <c r="I159" s="77"/>
      <c r="J159" s="77"/>
      <c r="K159" s="77"/>
      <c r="L159" s="77"/>
      <c r="M159" s="77"/>
      <c r="N159" s="77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ht="15.75" customHeight="1">
      <c r="A160" s="116"/>
      <c r="B160" s="115"/>
      <c r="C160" s="115"/>
      <c r="D160" s="115"/>
      <c r="E160" s="115"/>
      <c r="F160" s="115"/>
      <c r="G160" s="77"/>
      <c r="H160" s="77"/>
      <c r="I160" s="77"/>
      <c r="J160" s="77"/>
      <c r="K160" s="77"/>
      <c r="L160" s="77"/>
      <c r="M160" s="77"/>
      <c r="N160" s="77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ht="15.75" customHeight="1">
      <c r="A161" s="116"/>
      <c r="B161" s="115"/>
      <c r="C161" s="115"/>
      <c r="D161" s="115"/>
      <c r="E161" s="115"/>
      <c r="F161" s="115"/>
      <c r="G161" s="77"/>
      <c r="H161" s="77"/>
      <c r="I161" s="77"/>
      <c r="J161" s="77"/>
      <c r="K161" s="77"/>
      <c r="L161" s="77"/>
      <c r="M161" s="77"/>
      <c r="N161" s="77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ht="15.75" customHeight="1">
      <c r="A162" s="116"/>
      <c r="B162" s="115"/>
      <c r="C162" s="115"/>
      <c r="D162" s="115"/>
      <c r="E162" s="115"/>
      <c r="F162" s="115"/>
      <c r="G162" s="77"/>
      <c r="H162" s="77"/>
      <c r="I162" s="77"/>
      <c r="J162" s="77"/>
      <c r="K162" s="77"/>
      <c r="L162" s="77"/>
      <c r="M162" s="77"/>
      <c r="N162" s="77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ht="15.75" customHeight="1">
      <c r="A163" s="116"/>
      <c r="B163" s="115"/>
      <c r="C163" s="115"/>
      <c r="D163" s="115"/>
      <c r="E163" s="115"/>
      <c r="F163" s="115"/>
      <c r="G163" s="77"/>
      <c r="H163" s="77"/>
      <c r="I163" s="77"/>
      <c r="J163" s="77"/>
      <c r="K163" s="77"/>
      <c r="L163" s="77"/>
      <c r="M163" s="77"/>
      <c r="N163" s="77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ht="15.75" customHeight="1">
      <c r="A164" s="116"/>
      <c r="B164" s="115"/>
      <c r="C164" s="115"/>
      <c r="D164" s="115"/>
      <c r="E164" s="115"/>
      <c r="F164" s="115"/>
      <c r="G164" s="77"/>
      <c r="H164" s="77"/>
      <c r="I164" s="77"/>
      <c r="J164" s="77"/>
      <c r="K164" s="77"/>
      <c r="L164" s="77"/>
      <c r="M164" s="77"/>
      <c r="N164" s="77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ht="15.75" customHeight="1">
      <c r="A165" s="116"/>
      <c r="B165" s="115"/>
      <c r="C165" s="115"/>
      <c r="D165" s="115"/>
      <c r="E165" s="115"/>
      <c r="F165" s="115"/>
      <c r="G165" s="77"/>
      <c r="H165" s="77"/>
      <c r="I165" s="77"/>
      <c r="J165" s="77"/>
      <c r="K165" s="77"/>
      <c r="L165" s="77"/>
      <c r="M165" s="77"/>
      <c r="N165" s="77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ht="15.75" customHeight="1">
      <c r="A166" s="116"/>
      <c r="B166" s="115"/>
      <c r="C166" s="115"/>
      <c r="D166" s="115"/>
      <c r="E166" s="115"/>
      <c r="F166" s="115"/>
      <c r="G166" s="77"/>
      <c r="H166" s="77"/>
      <c r="I166" s="77"/>
      <c r="J166" s="77"/>
      <c r="K166" s="77"/>
      <c r="L166" s="77"/>
      <c r="M166" s="77"/>
      <c r="N166" s="77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ht="15.75" customHeight="1">
      <c r="A167" s="116"/>
      <c r="B167" s="115"/>
      <c r="C167" s="115"/>
      <c r="D167" s="115"/>
      <c r="E167" s="115"/>
      <c r="F167" s="115"/>
      <c r="G167" s="77"/>
      <c r="H167" s="77"/>
      <c r="I167" s="77"/>
      <c r="J167" s="77"/>
      <c r="K167" s="77"/>
      <c r="L167" s="77"/>
      <c r="M167" s="77"/>
      <c r="N167" s="77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ht="15.75" customHeight="1">
      <c r="A168" s="116"/>
      <c r="B168" s="115"/>
      <c r="C168" s="115"/>
      <c r="D168" s="115"/>
      <c r="E168" s="115"/>
      <c r="F168" s="115"/>
      <c r="G168" s="77"/>
      <c r="H168" s="77"/>
      <c r="I168" s="77"/>
      <c r="J168" s="77"/>
      <c r="K168" s="77"/>
      <c r="L168" s="77"/>
      <c r="M168" s="77"/>
      <c r="N168" s="77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ht="15.75" customHeight="1">
      <c r="A169" s="116"/>
      <c r="B169" s="115"/>
      <c r="C169" s="115"/>
      <c r="D169" s="115"/>
      <c r="E169" s="115"/>
      <c r="F169" s="115"/>
      <c r="G169" s="77"/>
      <c r="H169" s="77"/>
      <c r="I169" s="77"/>
      <c r="J169" s="77"/>
      <c r="K169" s="77"/>
      <c r="L169" s="77"/>
      <c r="M169" s="77"/>
      <c r="N169" s="77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ht="15.75" customHeight="1">
      <c r="A170" s="116"/>
      <c r="B170" s="115"/>
      <c r="C170" s="115"/>
      <c r="D170" s="115"/>
      <c r="E170" s="115"/>
      <c r="F170" s="115"/>
      <c r="G170" s="77"/>
      <c r="H170" s="77"/>
      <c r="I170" s="77"/>
      <c r="J170" s="77"/>
      <c r="K170" s="77"/>
      <c r="L170" s="77"/>
      <c r="M170" s="77"/>
      <c r="N170" s="77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ht="15.75" customHeight="1">
      <c r="A171" s="116"/>
      <c r="B171" s="115"/>
      <c r="C171" s="115"/>
      <c r="D171" s="115"/>
      <c r="E171" s="115"/>
      <c r="F171" s="115"/>
      <c r="G171" s="77"/>
      <c r="H171" s="77"/>
      <c r="I171" s="77"/>
      <c r="J171" s="77"/>
      <c r="K171" s="77"/>
      <c r="L171" s="77"/>
      <c r="M171" s="77"/>
      <c r="N171" s="77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ht="15.75" customHeight="1">
      <c r="A172" s="116"/>
      <c r="B172" s="115"/>
      <c r="C172" s="115"/>
      <c r="D172" s="115"/>
      <c r="E172" s="115"/>
      <c r="F172" s="115"/>
      <c r="G172" s="77"/>
      <c r="H172" s="77"/>
      <c r="I172" s="77"/>
      <c r="J172" s="77"/>
      <c r="K172" s="77"/>
      <c r="L172" s="77"/>
      <c r="M172" s="77"/>
      <c r="N172" s="77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ht="15.75" customHeight="1">
      <c r="A173" s="116"/>
      <c r="B173" s="115"/>
      <c r="C173" s="115"/>
      <c r="D173" s="115"/>
      <c r="E173" s="115"/>
      <c r="F173" s="115"/>
      <c r="G173" s="77"/>
      <c r="H173" s="77"/>
      <c r="I173" s="77"/>
      <c r="J173" s="77"/>
      <c r="K173" s="77"/>
      <c r="L173" s="77"/>
      <c r="M173" s="77"/>
      <c r="N173" s="77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ht="15.75" customHeight="1">
      <c r="A174" s="116"/>
      <c r="B174" s="115"/>
      <c r="C174" s="115"/>
      <c r="D174" s="115"/>
      <c r="E174" s="115"/>
      <c r="F174" s="115"/>
      <c r="G174" s="77"/>
      <c r="H174" s="77"/>
      <c r="I174" s="77"/>
      <c r="J174" s="77"/>
      <c r="K174" s="77"/>
      <c r="L174" s="77"/>
      <c r="M174" s="77"/>
      <c r="N174" s="77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ht="15.75" customHeight="1">
      <c r="A175" s="116"/>
      <c r="B175" s="115"/>
      <c r="C175" s="115"/>
      <c r="D175" s="115"/>
      <c r="E175" s="115"/>
      <c r="F175" s="115"/>
      <c r="G175" s="77"/>
      <c r="H175" s="77"/>
      <c r="I175" s="77"/>
      <c r="J175" s="77"/>
      <c r="K175" s="77"/>
      <c r="L175" s="77"/>
      <c r="M175" s="77"/>
      <c r="N175" s="77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ht="15.75" customHeight="1">
      <c r="A176" s="116"/>
      <c r="B176" s="115"/>
      <c r="C176" s="115"/>
      <c r="D176" s="115"/>
      <c r="E176" s="115"/>
      <c r="F176" s="115"/>
      <c r="G176" s="77"/>
      <c r="H176" s="77"/>
      <c r="I176" s="77"/>
      <c r="J176" s="77"/>
      <c r="K176" s="77"/>
      <c r="L176" s="77"/>
      <c r="M176" s="77"/>
      <c r="N176" s="77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ht="15.75" customHeight="1">
      <c r="A177" s="116"/>
      <c r="B177" s="115"/>
      <c r="C177" s="115"/>
      <c r="D177" s="115"/>
      <c r="E177" s="115"/>
      <c r="F177" s="115"/>
      <c r="G177" s="77"/>
      <c r="H177" s="77"/>
      <c r="I177" s="77"/>
      <c r="J177" s="77"/>
      <c r="K177" s="77"/>
      <c r="L177" s="77"/>
      <c r="M177" s="77"/>
      <c r="N177" s="77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ht="15.75" customHeight="1">
      <c r="A178" s="116"/>
      <c r="B178" s="115"/>
      <c r="C178" s="115"/>
      <c r="D178" s="115"/>
      <c r="E178" s="115"/>
      <c r="F178" s="115"/>
      <c r="G178" s="77"/>
      <c r="H178" s="77"/>
      <c r="I178" s="77"/>
      <c r="J178" s="77"/>
      <c r="K178" s="77"/>
      <c r="L178" s="77"/>
      <c r="M178" s="77"/>
      <c r="N178" s="77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ht="15.75" customHeight="1">
      <c r="A179" s="116"/>
      <c r="B179" s="115"/>
      <c r="C179" s="115"/>
      <c r="D179" s="115"/>
      <c r="E179" s="115"/>
      <c r="F179" s="115"/>
      <c r="G179" s="77"/>
      <c r="H179" s="77"/>
      <c r="I179" s="77"/>
      <c r="J179" s="77"/>
      <c r="K179" s="77"/>
      <c r="L179" s="77"/>
      <c r="M179" s="77"/>
      <c r="N179" s="77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ht="15.75" customHeight="1">
      <c r="A180" s="116"/>
      <c r="B180" s="115"/>
      <c r="C180" s="115"/>
      <c r="D180" s="115"/>
      <c r="E180" s="115"/>
      <c r="F180" s="115"/>
      <c r="G180" s="77"/>
      <c r="H180" s="77"/>
      <c r="I180" s="77"/>
      <c r="J180" s="77"/>
      <c r="K180" s="77"/>
      <c r="L180" s="77"/>
      <c r="M180" s="77"/>
      <c r="N180" s="77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ht="15.75" customHeight="1">
      <c r="A181" s="116"/>
      <c r="B181" s="115"/>
      <c r="C181" s="115"/>
      <c r="D181" s="115"/>
      <c r="E181" s="115"/>
      <c r="F181" s="115"/>
      <c r="G181" s="77"/>
      <c r="H181" s="77"/>
      <c r="I181" s="77"/>
      <c r="J181" s="77"/>
      <c r="K181" s="77"/>
      <c r="L181" s="77"/>
      <c r="M181" s="77"/>
      <c r="N181" s="77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ht="15.75" customHeight="1">
      <c r="A182" s="116"/>
      <c r="B182" s="115"/>
      <c r="C182" s="115"/>
      <c r="D182" s="115"/>
      <c r="E182" s="115"/>
      <c r="F182" s="115"/>
      <c r="G182" s="77"/>
      <c r="H182" s="77"/>
      <c r="I182" s="77"/>
      <c r="J182" s="77"/>
      <c r="K182" s="77"/>
      <c r="L182" s="77"/>
      <c r="M182" s="77"/>
      <c r="N182" s="77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ht="15.75" customHeight="1">
      <c r="A183" s="116"/>
      <c r="B183" s="115"/>
      <c r="C183" s="115"/>
      <c r="D183" s="115"/>
      <c r="E183" s="115"/>
      <c r="F183" s="115"/>
      <c r="G183" s="77"/>
      <c r="H183" s="77"/>
      <c r="I183" s="77"/>
      <c r="J183" s="77"/>
      <c r="K183" s="77"/>
      <c r="L183" s="77"/>
      <c r="M183" s="77"/>
      <c r="N183" s="77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ht="15.75" customHeight="1">
      <c r="A184" s="116"/>
      <c r="B184" s="115"/>
      <c r="C184" s="115"/>
      <c r="D184" s="115"/>
      <c r="E184" s="115"/>
      <c r="F184" s="115"/>
      <c r="G184" s="77"/>
      <c r="H184" s="77"/>
      <c r="I184" s="77"/>
      <c r="J184" s="77"/>
      <c r="K184" s="77"/>
      <c r="L184" s="77"/>
      <c r="M184" s="77"/>
      <c r="N184" s="77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ht="15.75" customHeight="1">
      <c r="A185" s="116"/>
      <c r="B185" s="115"/>
      <c r="C185" s="115"/>
      <c r="D185" s="115"/>
      <c r="E185" s="115"/>
      <c r="F185" s="115"/>
      <c r="G185" s="77"/>
      <c r="H185" s="77"/>
      <c r="I185" s="77"/>
      <c r="J185" s="77"/>
      <c r="K185" s="77"/>
      <c r="L185" s="77"/>
      <c r="M185" s="77"/>
      <c r="N185" s="77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ht="15.75" customHeight="1">
      <c r="A186" s="116"/>
      <c r="B186" s="115"/>
      <c r="C186" s="115"/>
      <c r="D186" s="115"/>
      <c r="E186" s="115"/>
      <c r="F186" s="115"/>
      <c r="G186" s="77"/>
      <c r="H186" s="77"/>
      <c r="I186" s="77"/>
      <c r="J186" s="77"/>
      <c r="K186" s="77"/>
      <c r="L186" s="77"/>
      <c r="M186" s="77"/>
      <c r="N186" s="77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ht="15.75" customHeight="1">
      <c r="A187" s="116"/>
      <c r="B187" s="115"/>
      <c r="C187" s="115"/>
      <c r="D187" s="115"/>
      <c r="E187" s="115"/>
      <c r="F187" s="115"/>
      <c r="G187" s="77"/>
      <c r="H187" s="77"/>
      <c r="I187" s="77"/>
      <c r="J187" s="77"/>
      <c r="K187" s="77"/>
      <c r="L187" s="77"/>
      <c r="M187" s="77"/>
      <c r="N187" s="77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ht="15.75" customHeight="1">
      <c r="A188" s="116"/>
      <c r="B188" s="115"/>
      <c r="C188" s="115"/>
      <c r="D188" s="115"/>
      <c r="E188" s="115"/>
      <c r="F188" s="115"/>
      <c r="G188" s="77"/>
      <c r="H188" s="77"/>
      <c r="I188" s="77"/>
      <c r="J188" s="77"/>
      <c r="K188" s="77"/>
      <c r="L188" s="77"/>
      <c r="M188" s="77"/>
      <c r="N188" s="77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ht="15.75" customHeight="1">
      <c r="A189" s="116"/>
      <c r="B189" s="115"/>
      <c r="C189" s="115"/>
      <c r="D189" s="115"/>
      <c r="E189" s="115"/>
      <c r="F189" s="115"/>
      <c r="G189" s="77"/>
      <c r="H189" s="77"/>
      <c r="I189" s="77"/>
      <c r="J189" s="77"/>
      <c r="K189" s="77"/>
      <c r="L189" s="77"/>
      <c r="M189" s="77"/>
      <c r="N189" s="77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ht="15.75" customHeight="1">
      <c r="A190" s="116"/>
      <c r="B190" s="115"/>
      <c r="C190" s="115"/>
      <c r="D190" s="115"/>
      <c r="E190" s="115"/>
      <c r="F190" s="115"/>
      <c r="G190" s="77"/>
      <c r="H190" s="77"/>
      <c r="I190" s="77"/>
      <c r="J190" s="77"/>
      <c r="K190" s="77"/>
      <c r="L190" s="77"/>
      <c r="M190" s="77"/>
      <c r="N190" s="77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ht="15.75" customHeight="1">
      <c r="A191" s="116"/>
      <c r="B191" s="115"/>
      <c r="C191" s="115"/>
      <c r="D191" s="115"/>
      <c r="E191" s="115"/>
      <c r="F191" s="115"/>
      <c r="G191" s="77"/>
      <c r="H191" s="77"/>
      <c r="I191" s="77"/>
      <c r="J191" s="77"/>
      <c r="K191" s="77"/>
      <c r="L191" s="77"/>
      <c r="M191" s="77"/>
      <c r="N191" s="77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ht="15.75" customHeight="1">
      <c r="A192" s="116"/>
      <c r="B192" s="115"/>
      <c r="C192" s="115"/>
      <c r="D192" s="115"/>
      <c r="E192" s="115"/>
      <c r="F192" s="115"/>
      <c r="G192" s="77"/>
      <c r="H192" s="77"/>
      <c r="I192" s="77"/>
      <c r="J192" s="77"/>
      <c r="K192" s="77"/>
      <c r="L192" s="77"/>
      <c r="M192" s="77"/>
      <c r="N192" s="77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ht="15.75" customHeight="1">
      <c r="A193" s="116"/>
      <c r="B193" s="115"/>
      <c r="C193" s="115"/>
      <c r="D193" s="115"/>
      <c r="E193" s="115"/>
      <c r="F193" s="115"/>
      <c r="G193" s="77"/>
      <c r="H193" s="77"/>
      <c r="I193" s="77"/>
      <c r="J193" s="77"/>
      <c r="K193" s="77"/>
      <c r="L193" s="77"/>
      <c r="M193" s="77"/>
      <c r="N193" s="77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ht="15.75" customHeight="1">
      <c r="A194" s="116"/>
      <c r="B194" s="115"/>
      <c r="C194" s="115"/>
      <c r="D194" s="115"/>
      <c r="E194" s="115"/>
      <c r="F194" s="115"/>
      <c r="G194" s="77"/>
      <c r="H194" s="77"/>
      <c r="I194" s="77"/>
      <c r="J194" s="77"/>
      <c r="K194" s="77"/>
      <c r="L194" s="77"/>
      <c r="M194" s="77"/>
      <c r="N194" s="77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ht="15.75" customHeight="1">
      <c r="A195" s="116"/>
      <c r="B195" s="115"/>
      <c r="C195" s="115"/>
      <c r="D195" s="115"/>
      <c r="E195" s="115"/>
      <c r="F195" s="115"/>
      <c r="G195" s="77"/>
      <c r="H195" s="77"/>
      <c r="I195" s="77"/>
      <c r="J195" s="77"/>
      <c r="K195" s="77"/>
      <c r="L195" s="77"/>
      <c r="M195" s="77"/>
      <c r="N195" s="77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ht="15.75" customHeight="1">
      <c r="A196" s="116"/>
      <c r="B196" s="115"/>
      <c r="C196" s="115"/>
      <c r="D196" s="115"/>
      <c r="E196" s="115"/>
      <c r="F196" s="115"/>
      <c r="G196" s="77"/>
      <c r="H196" s="77"/>
      <c r="I196" s="77"/>
      <c r="J196" s="77"/>
      <c r="K196" s="77"/>
      <c r="L196" s="77"/>
      <c r="M196" s="77"/>
      <c r="N196" s="77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ht="15.75" customHeight="1">
      <c r="A197" s="116"/>
      <c r="B197" s="115"/>
      <c r="C197" s="115"/>
      <c r="D197" s="115"/>
      <c r="E197" s="115"/>
      <c r="F197" s="115"/>
      <c r="G197" s="77"/>
      <c r="H197" s="77"/>
      <c r="I197" s="77"/>
      <c r="J197" s="77"/>
      <c r="K197" s="77"/>
      <c r="L197" s="77"/>
      <c r="M197" s="77"/>
      <c r="N197" s="77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ht="15.75" customHeight="1">
      <c r="A198" s="116"/>
      <c r="B198" s="115"/>
      <c r="C198" s="115"/>
      <c r="D198" s="115"/>
      <c r="E198" s="115"/>
      <c r="F198" s="115"/>
      <c r="G198" s="77"/>
      <c r="H198" s="77"/>
      <c r="I198" s="77"/>
      <c r="J198" s="77"/>
      <c r="K198" s="77"/>
      <c r="L198" s="77"/>
      <c r="M198" s="77"/>
      <c r="N198" s="77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ht="15.75" customHeight="1">
      <c r="A199" s="116"/>
      <c r="B199" s="115"/>
      <c r="C199" s="115"/>
      <c r="D199" s="115"/>
      <c r="E199" s="115"/>
      <c r="F199" s="115"/>
      <c r="G199" s="77"/>
      <c r="H199" s="77"/>
      <c r="I199" s="77"/>
      <c r="J199" s="77"/>
      <c r="K199" s="77"/>
      <c r="L199" s="77"/>
      <c r="M199" s="77"/>
      <c r="N199" s="77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ht="15.75" customHeight="1">
      <c r="A200" s="116"/>
      <c r="B200" s="115"/>
      <c r="C200" s="115"/>
      <c r="D200" s="115"/>
      <c r="E200" s="115"/>
      <c r="F200" s="115"/>
      <c r="G200" s="77"/>
      <c r="H200" s="77"/>
      <c r="I200" s="77"/>
      <c r="J200" s="77"/>
      <c r="K200" s="77"/>
      <c r="L200" s="77"/>
      <c r="M200" s="77"/>
      <c r="N200" s="77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ht="15.75" customHeight="1">
      <c r="A201" s="116"/>
      <c r="B201" s="115"/>
      <c r="C201" s="115"/>
      <c r="D201" s="115"/>
      <c r="E201" s="115"/>
      <c r="F201" s="115"/>
      <c r="G201" s="77"/>
      <c r="H201" s="77"/>
      <c r="I201" s="77"/>
      <c r="J201" s="77"/>
      <c r="K201" s="77"/>
      <c r="L201" s="77"/>
      <c r="M201" s="77"/>
      <c r="N201" s="77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ht="15.75" customHeight="1">
      <c r="A202" s="116"/>
      <c r="B202" s="115"/>
      <c r="C202" s="115"/>
      <c r="D202" s="115"/>
      <c r="E202" s="115"/>
      <c r="F202" s="115"/>
      <c r="G202" s="77"/>
      <c r="H202" s="77"/>
      <c r="I202" s="77"/>
      <c r="J202" s="77"/>
      <c r="K202" s="77"/>
      <c r="L202" s="77"/>
      <c r="M202" s="77"/>
      <c r="N202" s="77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ht="15.75" customHeight="1">
      <c r="A203" s="116"/>
      <c r="B203" s="115"/>
      <c r="C203" s="115"/>
      <c r="D203" s="115"/>
      <c r="E203" s="115"/>
      <c r="F203" s="115"/>
      <c r="G203" s="77"/>
      <c r="H203" s="77"/>
      <c r="I203" s="77"/>
      <c r="J203" s="77"/>
      <c r="K203" s="77"/>
      <c r="L203" s="77"/>
      <c r="M203" s="77"/>
      <c r="N203" s="77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ht="15.75" customHeight="1">
      <c r="A204" s="116"/>
      <c r="B204" s="115"/>
      <c r="C204" s="115"/>
      <c r="D204" s="115"/>
      <c r="E204" s="115"/>
      <c r="F204" s="115"/>
      <c r="G204" s="77"/>
      <c r="H204" s="77"/>
      <c r="I204" s="77"/>
      <c r="J204" s="77"/>
      <c r="K204" s="77"/>
      <c r="L204" s="77"/>
      <c r="M204" s="77"/>
      <c r="N204" s="77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ht="15.75" customHeight="1">
      <c r="A205" s="116"/>
      <c r="B205" s="115"/>
      <c r="C205" s="115"/>
      <c r="D205" s="115"/>
      <c r="E205" s="115"/>
      <c r="F205" s="115"/>
      <c r="G205" s="77"/>
      <c r="H205" s="77"/>
      <c r="I205" s="77"/>
      <c r="J205" s="77"/>
      <c r="K205" s="77"/>
      <c r="L205" s="77"/>
      <c r="M205" s="77"/>
      <c r="N205" s="77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ht="15.75" customHeight="1">
      <c r="A206" s="116"/>
      <c r="B206" s="115"/>
      <c r="C206" s="115"/>
      <c r="D206" s="115"/>
      <c r="E206" s="115"/>
      <c r="F206" s="115"/>
      <c r="G206" s="77"/>
      <c r="H206" s="77"/>
      <c r="I206" s="77"/>
      <c r="J206" s="77"/>
      <c r="K206" s="77"/>
      <c r="L206" s="77"/>
      <c r="M206" s="77"/>
      <c r="N206" s="77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ht="15.75" customHeight="1">
      <c r="A207" s="116"/>
      <c r="B207" s="115"/>
      <c r="C207" s="115"/>
      <c r="D207" s="115"/>
      <c r="E207" s="115"/>
      <c r="F207" s="115"/>
      <c r="G207" s="77"/>
      <c r="H207" s="77"/>
      <c r="I207" s="77"/>
      <c r="J207" s="77"/>
      <c r="K207" s="77"/>
      <c r="L207" s="77"/>
      <c r="M207" s="77"/>
      <c r="N207" s="77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ht="15.75" customHeight="1">
      <c r="A208" s="116"/>
      <c r="B208" s="115"/>
      <c r="C208" s="115"/>
      <c r="D208" s="115"/>
      <c r="E208" s="115"/>
      <c r="F208" s="115"/>
      <c r="G208" s="77"/>
      <c r="H208" s="77"/>
      <c r="I208" s="77"/>
      <c r="J208" s="77"/>
      <c r="K208" s="77"/>
      <c r="L208" s="77"/>
      <c r="M208" s="77"/>
      <c r="N208" s="77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ht="15.75" customHeight="1">
      <c r="A209" s="116"/>
      <c r="B209" s="115"/>
      <c r="C209" s="115"/>
      <c r="D209" s="115"/>
      <c r="E209" s="115"/>
      <c r="F209" s="115"/>
      <c r="G209" s="77"/>
      <c r="H209" s="77"/>
      <c r="I209" s="77"/>
      <c r="J209" s="77"/>
      <c r="K209" s="77"/>
      <c r="L209" s="77"/>
      <c r="M209" s="77"/>
      <c r="N209" s="77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ht="15.75" customHeight="1">
      <c r="A210" s="116"/>
      <c r="B210" s="115"/>
      <c r="C210" s="115"/>
      <c r="D210" s="115"/>
      <c r="E210" s="115"/>
      <c r="F210" s="115"/>
      <c r="G210" s="77"/>
      <c r="H210" s="77"/>
      <c r="I210" s="77"/>
      <c r="J210" s="77"/>
      <c r="K210" s="77"/>
      <c r="L210" s="77"/>
      <c r="M210" s="77"/>
      <c r="N210" s="77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ht="15.75" customHeight="1">
      <c r="A211" s="116"/>
      <c r="B211" s="115"/>
      <c r="C211" s="115"/>
      <c r="D211" s="115"/>
      <c r="E211" s="115"/>
      <c r="F211" s="115"/>
      <c r="G211" s="77"/>
      <c r="H211" s="77"/>
      <c r="I211" s="77"/>
      <c r="J211" s="77"/>
      <c r="K211" s="77"/>
      <c r="L211" s="77"/>
      <c r="M211" s="77"/>
      <c r="N211" s="77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ht="15.75" customHeight="1">
      <c r="A212" s="116"/>
      <c r="B212" s="115"/>
      <c r="C212" s="115"/>
      <c r="D212" s="115"/>
      <c r="E212" s="115"/>
      <c r="F212" s="115"/>
      <c r="G212" s="77"/>
      <c r="H212" s="77"/>
      <c r="I212" s="77"/>
      <c r="J212" s="77"/>
      <c r="K212" s="77"/>
      <c r="L212" s="77"/>
      <c r="M212" s="77"/>
      <c r="N212" s="77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ht="15.75" customHeight="1">
      <c r="A213" s="116"/>
      <c r="B213" s="115"/>
      <c r="C213" s="115"/>
      <c r="D213" s="115"/>
      <c r="E213" s="115"/>
      <c r="F213" s="115"/>
      <c r="G213" s="77"/>
      <c r="H213" s="77"/>
      <c r="I213" s="77"/>
      <c r="J213" s="77"/>
      <c r="K213" s="77"/>
      <c r="L213" s="77"/>
      <c r="M213" s="77"/>
      <c r="N213" s="77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ht="15.75" customHeight="1">
      <c r="A214" s="116"/>
      <c r="B214" s="115"/>
      <c r="C214" s="115"/>
      <c r="D214" s="115"/>
      <c r="E214" s="115"/>
      <c r="F214" s="115"/>
      <c r="G214" s="77"/>
      <c r="H214" s="77"/>
      <c r="I214" s="77"/>
      <c r="J214" s="77"/>
      <c r="K214" s="77"/>
      <c r="L214" s="77"/>
      <c r="M214" s="77"/>
      <c r="N214" s="77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ht="15.75" customHeight="1">
      <c r="A215" s="116"/>
      <c r="B215" s="115"/>
      <c r="C215" s="115"/>
      <c r="D215" s="115"/>
      <c r="E215" s="115"/>
      <c r="F215" s="115"/>
      <c r="G215" s="77"/>
      <c r="H215" s="77"/>
      <c r="I215" s="77"/>
      <c r="J215" s="77"/>
      <c r="K215" s="77"/>
      <c r="L215" s="77"/>
      <c r="M215" s="77"/>
      <c r="N215" s="77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ht="15.75" customHeight="1">
      <c r="A216" s="116"/>
      <c r="B216" s="115"/>
      <c r="C216" s="115"/>
      <c r="D216" s="115"/>
      <c r="E216" s="115"/>
      <c r="F216" s="115"/>
      <c r="G216" s="77"/>
      <c r="H216" s="77"/>
      <c r="I216" s="77"/>
      <c r="J216" s="77"/>
      <c r="K216" s="77"/>
      <c r="L216" s="77"/>
      <c r="M216" s="77"/>
      <c r="N216" s="77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ht="15.75" customHeight="1">
      <c r="A217" s="116"/>
      <c r="B217" s="115"/>
      <c r="C217" s="115"/>
      <c r="D217" s="115"/>
      <c r="E217" s="115"/>
      <c r="F217" s="115"/>
      <c r="G217" s="77"/>
      <c r="H217" s="77"/>
      <c r="I217" s="77"/>
      <c r="J217" s="77"/>
      <c r="K217" s="77"/>
      <c r="L217" s="77"/>
      <c r="M217" s="77"/>
      <c r="N217" s="77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ht="15.75" customHeight="1">
      <c r="A218" s="116"/>
      <c r="B218" s="115"/>
      <c r="C218" s="115"/>
      <c r="D218" s="115"/>
      <c r="E218" s="115"/>
      <c r="F218" s="115"/>
      <c r="G218" s="77"/>
      <c r="H218" s="77"/>
      <c r="I218" s="77"/>
      <c r="J218" s="77"/>
      <c r="K218" s="77"/>
      <c r="L218" s="77"/>
      <c r="M218" s="77"/>
      <c r="N218" s="77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ht="15.75" customHeight="1">
      <c r="A219" s="116"/>
      <c r="B219" s="115"/>
      <c r="C219" s="115"/>
      <c r="D219" s="115"/>
      <c r="E219" s="115"/>
      <c r="F219" s="115"/>
      <c r="G219" s="77"/>
      <c r="H219" s="77"/>
      <c r="I219" s="77"/>
      <c r="J219" s="77"/>
      <c r="K219" s="77"/>
      <c r="L219" s="77"/>
      <c r="M219" s="77"/>
      <c r="N219" s="77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ht="15.75" customHeight="1">
      <c r="A220" s="116"/>
      <c r="B220" s="115"/>
      <c r="C220" s="115"/>
      <c r="D220" s="115"/>
      <c r="E220" s="115"/>
      <c r="F220" s="115"/>
      <c r="G220" s="77"/>
      <c r="H220" s="77"/>
      <c r="I220" s="77"/>
      <c r="J220" s="77"/>
      <c r="K220" s="77"/>
      <c r="L220" s="77"/>
      <c r="M220" s="77"/>
      <c r="N220" s="77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ht="15.75" customHeight="1">
      <c r="A221" s="116"/>
      <c r="B221" s="115"/>
      <c r="C221" s="115"/>
      <c r="D221" s="115"/>
      <c r="E221" s="115"/>
      <c r="F221" s="115"/>
      <c r="G221" s="77"/>
      <c r="H221" s="77"/>
      <c r="I221" s="77"/>
      <c r="J221" s="77"/>
      <c r="K221" s="77"/>
      <c r="L221" s="77"/>
      <c r="M221" s="77"/>
      <c r="N221" s="77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 ht="15.75" customHeight="1">
      <c r="A222" s="116"/>
      <c r="B222" s="115"/>
      <c r="C222" s="115"/>
      <c r="D222" s="115"/>
      <c r="E222" s="115"/>
      <c r="F222" s="115"/>
      <c r="G222" s="77"/>
      <c r="H222" s="77"/>
      <c r="I222" s="77"/>
      <c r="J222" s="77"/>
      <c r="K222" s="77"/>
      <c r="L222" s="77"/>
      <c r="M222" s="77"/>
      <c r="N222" s="77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 ht="15.75" customHeight="1">
      <c r="A223" s="116"/>
      <c r="B223" s="115"/>
      <c r="C223" s="115"/>
      <c r="D223" s="115"/>
      <c r="E223" s="115"/>
      <c r="F223" s="115"/>
      <c r="G223" s="77"/>
      <c r="H223" s="77"/>
      <c r="I223" s="77"/>
      <c r="J223" s="77"/>
      <c r="K223" s="77"/>
      <c r="L223" s="77"/>
      <c r="M223" s="77"/>
      <c r="N223" s="77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 ht="15.75" customHeight="1">
      <c r="A224" s="116"/>
      <c r="B224" s="115"/>
      <c r="C224" s="115"/>
      <c r="D224" s="115"/>
      <c r="E224" s="115"/>
      <c r="F224" s="115"/>
      <c r="G224" s="77"/>
      <c r="H224" s="77"/>
      <c r="I224" s="77"/>
      <c r="J224" s="77"/>
      <c r="K224" s="77"/>
      <c r="L224" s="77"/>
      <c r="M224" s="77"/>
      <c r="N224" s="77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 ht="15.75" customHeight="1">
      <c r="A225" s="116"/>
      <c r="B225" s="115"/>
      <c r="C225" s="115"/>
      <c r="D225" s="115"/>
      <c r="E225" s="115"/>
      <c r="F225" s="115"/>
      <c r="G225" s="77"/>
      <c r="H225" s="77"/>
      <c r="I225" s="77"/>
      <c r="J225" s="77"/>
      <c r="K225" s="77"/>
      <c r="L225" s="77"/>
      <c r="M225" s="77"/>
      <c r="N225" s="77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 ht="15.75" customHeight="1">
      <c r="A226" s="116"/>
      <c r="B226" s="115"/>
      <c r="C226" s="115"/>
      <c r="D226" s="115"/>
      <c r="E226" s="115"/>
      <c r="F226" s="115"/>
      <c r="G226" s="77"/>
      <c r="H226" s="77"/>
      <c r="I226" s="77"/>
      <c r="J226" s="77"/>
      <c r="K226" s="77"/>
      <c r="L226" s="77"/>
      <c r="M226" s="77"/>
      <c r="N226" s="77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 ht="15.75" customHeight="1">
      <c r="A227" s="116"/>
      <c r="B227" s="115"/>
      <c r="C227" s="115"/>
      <c r="D227" s="115"/>
      <c r="E227" s="115"/>
      <c r="F227" s="115"/>
      <c r="G227" s="77"/>
      <c r="H227" s="77"/>
      <c r="I227" s="77"/>
      <c r="J227" s="77"/>
      <c r="K227" s="77"/>
      <c r="L227" s="77"/>
      <c r="M227" s="77"/>
      <c r="N227" s="77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 ht="15.75" customHeight="1">
      <c r="A228" s="116"/>
      <c r="B228" s="115"/>
      <c r="C228" s="115"/>
      <c r="D228" s="115"/>
      <c r="E228" s="115"/>
      <c r="F228" s="115"/>
      <c r="G228" s="77"/>
      <c r="H228" s="77"/>
      <c r="I228" s="77"/>
      <c r="J228" s="77"/>
      <c r="K228" s="77"/>
      <c r="L228" s="77"/>
      <c r="M228" s="77"/>
      <c r="N228" s="77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 ht="15.75" customHeight="1">
      <c r="A229" s="116"/>
      <c r="B229" s="115"/>
      <c r="C229" s="115"/>
      <c r="D229" s="115"/>
      <c r="E229" s="115"/>
      <c r="F229" s="115"/>
      <c r="G229" s="77"/>
      <c r="H229" s="77"/>
      <c r="I229" s="77"/>
      <c r="J229" s="77"/>
      <c r="K229" s="77"/>
      <c r="L229" s="77"/>
      <c r="M229" s="77"/>
      <c r="N229" s="77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 ht="15.75" customHeight="1">
      <c r="A230" s="116"/>
      <c r="B230" s="115"/>
      <c r="C230" s="115"/>
      <c r="D230" s="115"/>
      <c r="E230" s="115"/>
      <c r="F230" s="115"/>
      <c r="G230" s="77"/>
      <c r="H230" s="77"/>
      <c r="I230" s="77"/>
      <c r="J230" s="77"/>
      <c r="K230" s="77"/>
      <c r="L230" s="77"/>
      <c r="M230" s="77"/>
      <c r="N230" s="77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 ht="15.75" customHeight="1">
      <c r="A231" s="116"/>
      <c r="B231" s="115"/>
      <c r="C231" s="115"/>
      <c r="D231" s="115"/>
      <c r="E231" s="115"/>
      <c r="F231" s="115"/>
      <c r="G231" s="77"/>
      <c r="H231" s="77"/>
      <c r="I231" s="77"/>
      <c r="J231" s="77"/>
      <c r="K231" s="77"/>
      <c r="L231" s="77"/>
      <c r="M231" s="77"/>
      <c r="N231" s="77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 ht="15.75" customHeight="1">
      <c r="A232" s="116"/>
      <c r="B232" s="115"/>
      <c r="C232" s="115"/>
      <c r="D232" s="115"/>
      <c r="E232" s="115"/>
      <c r="F232" s="115"/>
      <c r="G232" s="77"/>
      <c r="H232" s="77"/>
      <c r="I232" s="77"/>
      <c r="J232" s="77"/>
      <c r="K232" s="77"/>
      <c r="L232" s="77"/>
      <c r="M232" s="77"/>
      <c r="N232" s="77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 ht="15.75" customHeight="1">
      <c r="A233" s="116"/>
      <c r="B233" s="115"/>
      <c r="C233" s="115"/>
      <c r="D233" s="115"/>
      <c r="E233" s="115"/>
      <c r="F233" s="115"/>
      <c r="G233" s="77"/>
      <c r="H233" s="77"/>
      <c r="I233" s="77"/>
      <c r="J233" s="77"/>
      <c r="K233" s="77"/>
      <c r="L233" s="77"/>
      <c r="M233" s="77"/>
      <c r="N233" s="77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 ht="15.75" customHeight="1">
      <c r="A234" s="116"/>
      <c r="B234" s="115"/>
      <c r="C234" s="115"/>
      <c r="D234" s="115"/>
      <c r="E234" s="115"/>
      <c r="F234" s="115"/>
      <c r="G234" s="77"/>
      <c r="H234" s="77"/>
      <c r="I234" s="77"/>
      <c r="J234" s="77"/>
      <c r="K234" s="77"/>
      <c r="L234" s="77"/>
      <c r="M234" s="77"/>
      <c r="N234" s="77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 ht="15.75" customHeight="1">
      <c r="A235" s="116"/>
      <c r="B235" s="115"/>
      <c r="C235" s="115"/>
      <c r="D235" s="115"/>
      <c r="E235" s="115"/>
      <c r="F235" s="115"/>
      <c r="G235" s="77"/>
      <c r="H235" s="77"/>
      <c r="I235" s="77"/>
      <c r="J235" s="77"/>
      <c r="K235" s="77"/>
      <c r="L235" s="77"/>
      <c r="M235" s="77"/>
      <c r="N235" s="77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 ht="15.75" customHeight="1">
      <c r="A236" s="116"/>
      <c r="B236" s="115"/>
      <c r="C236" s="115"/>
      <c r="D236" s="115"/>
      <c r="E236" s="115"/>
      <c r="F236" s="115"/>
      <c r="G236" s="77"/>
      <c r="H236" s="77"/>
      <c r="I236" s="77"/>
      <c r="J236" s="77"/>
      <c r="K236" s="77"/>
      <c r="L236" s="77"/>
      <c r="M236" s="77"/>
      <c r="N236" s="77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 ht="15.75" customHeight="1">
      <c r="A237" s="116"/>
      <c r="B237" s="115"/>
      <c r="C237" s="115"/>
      <c r="D237" s="115"/>
      <c r="E237" s="115"/>
      <c r="F237" s="115"/>
      <c r="G237" s="77"/>
      <c r="H237" s="77"/>
      <c r="I237" s="77"/>
      <c r="J237" s="77"/>
      <c r="K237" s="77"/>
      <c r="L237" s="77"/>
      <c r="M237" s="77"/>
      <c r="N237" s="77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 ht="15.75" customHeight="1">
      <c r="A238" s="116"/>
      <c r="B238" s="115"/>
      <c r="C238" s="115"/>
      <c r="D238" s="115"/>
      <c r="E238" s="115"/>
      <c r="F238" s="115"/>
      <c r="G238" s="77"/>
      <c r="H238" s="77"/>
      <c r="I238" s="77"/>
      <c r="J238" s="77"/>
      <c r="K238" s="77"/>
      <c r="L238" s="77"/>
      <c r="M238" s="77"/>
      <c r="N238" s="77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 ht="15.75" customHeight="1">
      <c r="A239" s="116"/>
      <c r="B239" s="115"/>
      <c r="C239" s="115"/>
      <c r="D239" s="115"/>
      <c r="E239" s="115"/>
      <c r="F239" s="115"/>
      <c r="G239" s="77"/>
      <c r="H239" s="77"/>
      <c r="I239" s="77"/>
      <c r="J239" s="77"/>
      <c r="K239" s="77"/>
      <c r="L239" s="77"/>
      <c r="M239" s="77"/>
      <c r="N239" s="77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 ht="15.75" customHeight="1">
      <c r="A240" s="116"/>
      <c r="B240" s="115"/>
      <c r="C240" s="115"/>
      <c r="D240" s="115"/>
      <c r="E240" s="115"/>
      <c r="F240" s="115"/>
      <c r="G240" s="77"/>
      <c r="H240" s="77"/>
      <c r="I240" s="77"/>
      <c r="J240" s="77"/>
      <c r="K240" s="77"/>
      <c r="L240" s="77"/>
      <c r="M240" s="77"/>
      <c r="N240" s="77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 ht="15.75" customHeight="1">
      <c r="A241" s="116"/>
      <c r="B241" s="115"/>
      <c r="C241" s="115"/>
      <c r="D241" s="115"/>
      <c r="E241" s="115"/>
      <c r="F241" s="115"/>
      <c r="G241" s="77"/>
      <c r="H241" s="77"/>
      <c r="I241" s="77"/>
      <c r="J241" s="77"/>
      <c r="K241" s="77"/>
      <c r="L241" s="77"/>
      <c r="M241" s="77"/>
      <c r="N241" s="77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 ht="15.75" customHeight="1">
      <c r="A242" s="116"/>
      <c r="B242" s="115"/>
      <c r="C242" s="115"/>
      <c r="D242" s="115"/>
      <c r="E242" s="115"/>
      <c r="F242" s="115"/>
      <c r="G242" s="77"/>
      <c r="H242" s="77"/>
      <c r="I242" s="77"/>
      <c r="J242" s="77"/>
      <c r="K242" s="77"/>
      <c r="L242" s="77"/>
      <c r="M242" s="77"/>
      <c r="N242" s="77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 ht="15.75" customHeight="1">
      <c r="A243" s="116"/>
      <c r="B243" s="115"/>
      <c r="C243" s="115"/>
      <c r="D243" s="115"/>
      <c r="E243" s="115"/>
      <c r="F243" s="115"/>
      <c r="G243" s="77"/>
      <c r="H243" s="77"/>
      <c r="I243" s="77"/>
      <c r="J243" s="77"/>
      <c r="K243" s="77"/>
      <c r="L243" s="77"/>
      <c r="M243" s="77"/>
      <c r="N243" s="77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 ht="15.75" customHeight="1">
      <c r="A244" s="116"/>
      <c r="B244" s="115"/>
      <c r="C244" s="115"/>
      <c r="D244" s="115"/>
      <c r="E244" s="115"/>
      <c r="F244" s="115"/>
      <c r="G244" s="77"/>
      <c r="H244" s="77"/>
      <c r="I244" s="77"/>
      <c r="J244" s="77"/>
      <c r="K244" s="77"/>
      <c r="L244" s="77"/>
      <c r="M244" s="77"/>
      <c r="N244" s="77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 ht="15.75" customHeight="1">
      <c r="A245" s="116"/>
      <c r="B245" s="115"/>
      <c r="C245" s="115"/>
      <c r="D245" s="115"/>
      <c r="E245" s="115"/>
      <c r="F245" s="115"/>
      <c r="G245" s="77"/>
      <c r="H245" s="77"/>
      <c r="I245" s="77"/>
      <c r="J245" s="77"/>
      <c r="K245" s="77"/>
      <c r="L245" s="77"/>
      <c r="M245" s="77"/>
      <c r="N245" s="77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 ht="15.75" customHeight="1">
      <c r="A246" s="116"/>
      <c r="B246" s="115"/>
      <c r="C246" s="115"/>
      <c r="D246" s="115"/>
      <c r="E246" s="115"/>
      <c r="F246" s="115"/>
      <c r="G246" s="77"/>
      <c r="H246" s="77"/>
      <c r="I246" s="77"/>
      <c r="J246" s="77"/>
      <c r="K246" s="77"/>
      <c r="L246" s="77"/>
      <c r="M246" s="77"/>
      <c r="N246" s="77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 ht="15.75" customHeight="1">
      <c r="A247" s="116"/>
      <c r="B247" s="115"/>
      <c r="C247" s="115"/>
      <c r="D247" s="115"/>
      <c r="E247" s="115"/>
      <c r="F247" s="115"/>
      <c r="G247" s="77"/>
      <c r="H247" s="77"/>
      <c r="I247" s="77"/>
      <c r="J247" s="77"/>
      <c r="K247" s="77"/>
      <c r="L247" s="77"/>
      <c r="M247" s="77"/>
      <c r="N247" s="77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 ht="15.75" customHeight="1">
      <c r="A248" s="116"/>
      <c r="B248" s="115"/>
      <c r="C248" s="115"/>
      <c r="D248" s="115"/>
      <c r="E248" s="115"/>
      <c r="F248" s="115"/>
      <c r="G248" s="77"/>
      <c r="H248" s="77"/>
      <c r="I248" s="77"/>
      <c r="J248" s="77"/>
      <c r="K248" s="77"/>
      <c r="L248" s="77"/>
      <c r="M248" s="77"/>
      <c r="N248" s="77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 ht="15.75" customHeight="1">
      <c r="A249" s="116"/>
      <c r="B249" s="115"/>
      <c r="C249" s="115"/>
      <c r="D249" s="115"/>
      <c r="E249" s="115"/>
      <c r="F249" s="115"/>
      <c r="G249" s="77"/>
      <c r="H249" s="77"/>
      <c r="I249" s="77"/>
      <c r="J249" s="77"/>
      <c r="K249" s="77"/>
      <c r="L249" s="77"/>
      <c r="M249" s="77"/>
      <c r="N249" s="77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 ht="15.75" customHeight="1">
      <c r="A250" s="116"/>
      <c r="B250" s="115"/>
      <c r="C250" s="115"/>
      <c r="D250" s="115"/>
      <c r="E250" s="115"/>
      <c r="F250" s="115"/>
      <c r="G250" s="77"/>
      <c r="H250" s="77"/>
      <c r="I250" s="77"/>
      <c r="J250" s="77"/>
      <c r="K250" s="77"/>
      <c r="L250" s="77"/>
      <c r="M250" s="77"/>
      <c r="N250" s="77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 ht="15.75" customHeight="1">
      <c r="A251" s="116"/>
      <c r="B251" s="115"/>
      <c r="C251" s="115"/>
      <c r="D251" s="115"/>
      <c r="E251" s="115"/>
      <c r="F251" s="115"/>
      <c r="G251" s="77"/>
      <c r="H251" s="77"/>
      <c r="I251" s="77"/>
      <c r="J251" s="77"/>
      <c r="K251" s="77"/>
      <c r="L251" s="77"/>
      <c r="M251" s="77"/>
      <c r="N251" s="77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 ht="15.75" customHeight="1">
      <c r="A252" s="116"/>
      <c r="B252" s="115"/>
      <c r="C252" s="115"/>
      <c r="D252" s="115"/>
      <c r="E252" s="115"/>
      <c r="F252" s="115"/>
      <c r="G252" s="77"/>
      <c r="H252" s="77"/>
      <c r="I252" s="77"/>
      <c r="J252" s="77"/>
      <c r="K252" s="77"/>
      <c r="L252" s="77"/>
      <c r="M252" s="77"/>
      <c r="N252" s="77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 ht="15.75" customHeight="1">
      <c r="A253" s="116"/>
      <c r="B253" s="115"/>
      <c r="C253" s="115"/>
      <c r="D253" s="115"/>
      <c r="E253" s="115"/>
      <c r="F253" s="115"/>
      <c r="G253" s="77"/>
      <c r="H253" s="77"/>
      <c r="I253" s="77"/>
      <c r="J253" s="77"/>
      <c r="K253" s="77"/>
      <c r="L253" s="77"/>
      <c r="M253" s="77"/>
      <c r="N253" s="77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579A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6.38"/>
    <col customWidth="1" min="2" max="8" width="13.0"/>
  </cols>
  <sheetData>
    <row r="1">
      <c r="A1" s="195" t="s">
        <v>80</v>
      </c>
      <c r="B1" s="195" t="s">
        <v>425</v>
      </c>
      <c r="C1" s="195" t="s">
        <v>68</v>
      </c>
      <c r="D1" s="195" t="s">
        <v>70</v>
      </c>
      <c r="E1" s="195" t="s">
        <v>72</v>
      </c>
      <c r="F1" s="195" t="s">
        <v>74</v>
      </c>
      <c r="G1" s="195" t="s">
        <v>76</v>
      </c>
      <c r="H1" s="195" t="s">
        <v>78</v>
      </c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197" t="s">
        <v>426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7" t="s">
        <v>94</v>
      </c>
      <c r="B3" s="74">
        <f>'4. Revenue and Volume '!C6</f>
        <v>283</v>
      </c>
      <c r="C3" s="74">
        <f t="shared" ref="C3:H3" si="1">B8</f>
        <v>513.76</v>
      </c>
      <c r="D3" s="74">
        <f t="shared" si="1"/>
        <v>680</v>
      </c>
      <c r="E3" s="74">
        <f t="shared" si="1"/>
        <v>821</v>
      </c>
      <c r="F3" s="74">
        <f t="shared" si="1"/>
        <v>941</v>
      </c>
      <c r="G3" s="74">
        <f t="shared" si="1"/>
        <v>1043</v>
      </c>
      <c r="H3" s="74">
        <f t="shared" si="1"/>
        <v>1211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7" t="s">
        <v>427</v>
      </c>
      <c r="B4" s="74" t="s">
        <v>102</v>
      </c>
      <c r="C4" s="74">
        <f>ROUND(C3*'3. Assumptions and Drivers'!$C$20,0)</f>
        <v>437</v>
      </c>
      <c r="D4" s="74">
        <f>ROUND(D3*'3. Assumptions and Drivers'!$C$20,0)</f>
        <v>578</v>
      </c>
      <c r="E4" s="74">
        <f>ROUND(E3*'3. Assumptions and Drivers'!$C$20,0)</f>
        <v>698</v>
      </c>
      <c r="F4" s="74">
        <f>ROUND(F3*'3. Assumptions and Drivers'!$C$20,0)</f>
        <v>800</v>
      </c>
      <c r="G4" s="74">
        <f>ROUND(G3*'3. Assumptions and Drivers'!$C$20,0)</f>
        <v>887</v>
      </c>
      <c r="H4" s="74">
        <f>ROUND(H3*'3. Assumptions and Drivers'!$C$20,0)</f>
        <v>1029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7" t="s">
        <v>428</v>
      </c>
      <c r="B5" s="74">
        <f>'5. Payroll and Headcount'!C10</f>
        <v>2</v>
      </c>
      <c r="C5" s="74">
        <f t="shared" ref="C5:H5" si="2">B13</f>
        <v>3</v>
      </c>
      <c r="D5" s="74">
        <f t="shared" si="2"/>
        <v>3</v>
      </c>
      <c r="E5" s="74">
        <f t="shared" si="2"/>
        <v>3</v>
      </c>
      <c r="F5" s="74">
        <f t="shared" si="2"/>
        <v>3</v>
      </c>
      <c r="G5" s="74">
        <f t="shared" si="2"/>
        <v>4</v>
      </c>
      <c r="H5" s="74">
        <f t="shared" si="2"/>
        <v>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7" t="s">
        <v>429</v>
      </c>
      <c r="B6" s="74">
        <f>('3. Assumptions and Drivers'!$G$41*3)+('3. Assumptions and Drivers'!$G$39*9)</f>
        <v>81</v>
      </c>
      <c r="C6" s="74">
        <f t="shared" ref="C6:H6" si="3">$B$6</f>
        <v>81</v>
      </c>
      <c r="D6" s="74">
        <f t="shared" si="3"/>
        <v>81</v>
      </c>
      <c r="E6" s="74">
        <f t="shared" si="3"/>
        <v>81</v>
      </c>
      <c r="F6" s="74">
        <f t="shared" si="3"/>
        <v>81</v>
      </c>
      <c r="G6" s="74">
        <f t="shared" si="3"/>
        <v>81</v>
      </c>
      <c r="H6" s="74">
        <f t="shared" si="3"/>
        <v>81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7" t="s">
        <v>430</v>
      </c>
      <c r="B7" s="74">
        <f>'4. Revenue and Volume '!P4</f>
        <v>231</v>
      </c>
      <c r="C7" s="74">
        <f t="shared" ref="C7:H7" si="4">C5*C6</f>
        <v>243</v>
      </c>
      <c r="D7" s="74">
        <f t="shared" si="4"/>
        <v>243</v>
      </c>
      <c r="E7" s="74">
        <f t="shared" si="4"/>
        <v>243</v>
      </c>
      <c r="F7" s="74">
        <f t="shared" si="4"/>
        <v>243</v>
      </c>
      <c r="G7" s="74">
        <f t="shared" si="4"/>
        <v>324</v>
      </c>
      <c r="H7" s="74">
        <f t="shared" si="4"/>
        <v>324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7" t="s">
        <v>95</v>
      </c>
      <c r="B8" s="74">
        <f>'4. Revenue and Volume '!O6</f>
        <v>513.76</v>
      </c>
      <c r="C8" s="74">
        <f t="shared" ref="C8:H8" si="5">C4+C7</f>
        <v>680</v>
      </c>
      <c r="D8" s="74">
        <f t="shared" si="5"/>
        <v>821</v>
      </c>
      <c r="E8" s="74">
        <f t="shared" si="5"/>
        <v>941</v>
      </c>
      <c r="F8" s="74">
        <f t="shared" si="5"/>
        <v>1043</v>
      </c>
      <c r="G8" s="74">
        <f t="shared" si="5"/>
        <v>1211</v>
      </c>
      <c r="H8" s="74">
        <f t="shared" si="5"/>
        <v>1353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7" t="s">
        <v>431</v>
      </c>
      <c r="B9" s="74">
        <f>'4. Revenue and Volume '!O11</f>
        <v>46</v>
      </c>
      <c r="C9" s="74">
        <f>ROUNDUP(C8/'3. Assumptions and Drivers'!$C$3,0)</f>
        <v>46</v>
      </c>
      <c r="D9" s="74">
        <f>ROUNDUP(D8/'3. Assumptions and Drivers'!$C$3,0)</f>
        <v>55</v>
      </c>
      <c r="E9" s="74">
        <f>ROUNDUP(E8/'3. Assumptions and Drivers'!$C$3,0)</f>
        <v>63</v>
      </c>
      <c r="F9" s="74">
        <f>ROUNDUP(F8/'3. Assumptions and Drivers'!$C$3,0)</f>
        <v>70</v>
      </c>
      <c r="G9" s="74">
        <f>ROUNDUP(G8/'3. Assumptions and Drivers'!$C$3,0)</f>
        <v>81</v>
      </c>
      <c r="H9" s="74">
        <f>ROUNDUP(H8/'3. Assumptions and Drivers'!$C$3,0)</f>
        <v>91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7" t="s">
        <v>432</v>
      </c>
      <c r="B10" s="74">
        <f>'5. Payroll and Headcount'!O6</f>
        <v>1</v>
      </c>
      <c r="C10" s="74">
        <f>ROUNDUP(B11/'3. Assumptions and Drivers'!$G$8,0)</f>
        <v>1</v>
      </c>
      <c r="D10" s="74">
        <f>ROUNDUP(C11/'3. Assumptions and Drivers'!$G$8,0)</f>
        <v>1</v>
      </c>
      <c r="E10" s="74">
        <f>ROUNDUP(D11/'3. Assumptions and Drivers'!$G$8,0)</f>
        <v>1</v>
      </c>
      <c r="F10" s="74">
        <f>ROUNDUP(E11/'3. Assumptions and Drivers'!$G$8,0)</f>
        <v>1</v>
      </c>
      <c r="G10" s="74">
        <f>ROUNDUP(F11/'3. Assumptions and Drivers'!$G$8,0)</f>
        <v>1</v>
      </c>
      <c r="H10" s="74">
        <f>ROUNDUP(G11/'3. Assumptions and Drivers'!$G$8,0)</f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7" t="s">
        <v>153</v>
      </c>
      <c r="B11" s="74">
        <f>'5. Payroll and Headcount'!O7</f>
        <v>4</v>
      </c>
      <c r="C11" s="74">
        <f>ROUNDUP((C9-'3. Assumptions and Drivers'!$G$6*C10)/'3. Assumptions and Drivers'!$G$9,0)</f>
        <v>4</v>
      </c>
      <c r="D11" s="74">
        <f>ROUNDUP((D9-'3. Assumptions and Drivers'!$G$6*D10)/'3. Assumptions and Drivers'!$G$9,0)</f>
        <v>5</v>
      </c>
      <c r="E11" s="74">
        <f>ROUNDUP((E9-'3. Assumptions and Drivers'!$G$6*E10)/'3. Assumptions and Drivers'!$G$9,0)</f>
        <v>6</v>
      </c>
      <c r="F11" s="74">
        <f>ROUNDUP((F9-'3. Assumptions and Drivers'!$G$6*F10)/'3. Assumptions and Drivers'!$G$9,0)</f>
        <v>7</v>
      </c>
      <c r="G11" s="74">
        <f>ROUNDUP((G9-'3. Assumptions and Drivers'!$G$6*G10)/'3. Assumptions and Drivers'!$G$9,0)</f>
        <v>8</v>
      </c>
      <c r="H11" s="74">
        <f>ROUNDUP((H9-'3. Assumptions and Drivers'!$G$6*H10)/'3. Assumptions and Drivers'!$G$9,0)</f>
        <v>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7" t="s">
        <v>433</v>
      </c>
      <c r="B12" s="74">
        <f t="shared" ref="B12:H12" si="6">B10+B11</f>
        <v>5</v>
      </c>
      <c r="C12" s="74">
        <f t="shared" si="6"/>
        <v>5</v>
      </c>
      <c r="D12" s="74">
        <f t="shared" si="6"/>
        <v>6</v>
      </c>
      <c r="E12" s="74">
        <f t="shared" si="6"/>
        <v>7</v>
      </c>
      <c r="F12" s="74">
        <f t="shared" si="6"/>
        <v>8</v>
      </c>
      <c r="G12" s="74">
        <f t="shared" si="6"/>
        <v>9</v>
      </c>
      <c r="H12" s="74">
        <f t="shared" si="6"/>
        <v>10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7" t="s">
        <v>434</v>
      </c>
      <c r="B13" s="74">
        <f>'5. Payroll and Headcount'!O10</f>
        <v>3</v>
      </c>
      <c r="C13" s="74">
        <f>ROUNDDOWN(C12/'3. Assumptions and Drivers'!$G$17,0)+'3. Assumptions and Drivers'!$G$38</f>
        <v>3</v>
      </c>
      <c r="D13" s="74">
        <f>ROUNDDOWN(D12/'3. Assumptions and Drivers'!$G$17,0)+'3. Assumptions and Drivers'!$G$38</f>
        <v>3</v>
      </c>
      <c r="E13" s="74">
        <f>ROUNDDOWN(E12/'3. Assumptions and Drivers'!$G$17,0)+'3. Assumptions and Drivers'!$G$38</f>
        <v>3</v>
      </c>
      <c r="F13" s="74">
        <f>ROUNDDOWN(F12/'3. Assumptions and Drivers'!$G$17,0)+'3. Assumptions and Drivers'!$G$38</f>
        <v>4</v>
      </c>
      <c r="G13" s="74">
        <f>ROUNDDOWN(G12/'3. Assumptions and Drivers'!$G$17,0)+'3. Assumptions and Drivers'!$G$38</f>
        <v>4</v>
      </c>
      <c r="H13" s="74">
        <f>ROUNDDOWN(H12/'3. Assumptions and Drivers'!$G$17,0)+'3. Assumptions and Drivers'!$G$38</f>
        <v>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98" t="s">
        <v>435</v>
      </c>
      <c r="B14" s="199">
        <f t="shared" ref="B14:H14" si="7">SUM(B12:B13)</f>
        <v>8</v>
      </c>
      <c r="C14" s="199">
        <f t="shared" si="7"/>
        <v>8</v>
      </c>
      <c r="D14" s="199">
        <f t="shared" si="7"/>
        <v>9</v>
      </c>
      <c r="E14" s="199">
        <f t="shared" si="7"/>
        <v>10</v>
      </c>
      <c r="F14" s="199">
        <f t="shared" si="7"/>
        <v>12</v>
      </c>
      <c r="G14" s="199">
        <f t="shared" si="7"/>
        <v>13</v>
      </c>
      <c r="H14" s="199">
        <f t="shared" si="7"/>
        <v>14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97" t="s">
        <v>436</v>
      </c>
      <c r="B16" s="115"/>
      <c r="C16" s="115"/>
      <c r="D16" s="115"/>
      <c r="E16" s="115"/>
      <c r="F16" s="115"/>
      <c r="G16" s="115"/>
      <c r="H16" s="115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37" t="s">
        <v>437</v>
      </c>
      <c r="B17" s="159">
        <f>'2. Financial Summary'!$H$6</f>
        <v>7102.7255</v>
      </c>
      <c r="C17" s="159">
        <f>B17*(1+'3. Assumptions and Drivers'!$C$5)</f>
        <v>7315.807265</v>
      </c>
      <c r="D17" s="159">
        <f>C17*(1+'3. Assumptions and Drivers'!$C$5)</f>
        <v>7535.281483</v>
      </c>
      <c r="E17" s="159">
        <f>D17*(1+'3. Assumptions and Drivers'!$C$5)</f>
        <v>7761.339927</v>
      </c>
      <c r="F17" s="159">
        <f>E17*(1+'3. Assumptions and Drivers'!$C$5)</f>
        <v>7994.180125</v>
      </c>
      <c r="G17" s="159">
        <f>F17*(1+'3. Assumptions and Drivers'!$C$5)</f>
        <v>8234.005529</v>
      </c>
      <c r="H17" s="159">
        <f>G17*(1+'3. Assumptions and Drivers'!$C$5)</f>
        <v>8481.025695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37" t="s">
        <v>438</v>
      </c>
      <c r="B18" s="164">
        <f>SUM('4. Revenue and Volume '!D18:O18)</f>
        <v>2828012.91</v>
      </c>
      <c r="C18" s="164">
        <f t="shared" ref="C18:H18" si="8">C8*C17</f>
        <v>4974748.94</v>
      </c>
      <c r="D18" s="164">
        <f t="shared" si="8"/>
        <v>6186466.098</v>
      </c>
      <c r="E18" s="164">
        <f t="shared" si="8"/>
        <v>7303420.872</v>
      </c>
      <c r="F18" s="164">
        <f t="shared" si="8"/>
        <v>8337929.871</v>
      </c>
      <c r="G18" s="164">
        <f t="shared" si="8"/>
        <v>9971380.696</v>
      </c>
      <c r="H18" s="164">
        <f t="shared" si="8"/>
        <v>11474827.77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37" t="s">
        <v>439</v>
      </c>
      <c r="B19" s="159">
        <f>SUM('4. Revenue and Volume '!D19:O20)</f>
        <v>170726.32</v>
      </c>
      <c r="C19" s="159">
        <f>B19*(1+'3. Assumptions and Drivers'!$C$11)*(C8/B8)</f>
        <v>230488.5074</v>
      </c>
      <c r="D19" s="159">
        <f>C19*(1+'3. Assumptions and Drivers'!$C$11)*(D8/C8)</f>
        <v>283846.5968</v>
      </c>
      <c r="E19" s="159">
        <f>D19*(1+'3. Assumptions and Drivers'!$C$11)*(E8/D8)</f>
        <v>331841.2187</v>
      </c>
      <c r="F19" s="159">
        <f>E19*(1+'3. Assumptions and Drivers'!$C$11)*(F8/E8)</f>
        <v>375167.4803</v>
      </c>
      <c r="G19" s="159">
        <f>F19*(1+'3. Assumptions and Drivers'!$C$11)*(G8/F8)</f>
        <v>444309.0844</v>
      </c>
      <c r="H19" s="159">
        <f>G19*(1+'3. Assumptions and Drivers'!$C$11)*(H8/G8)</f>
        <v>506336.2469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137" t="s">
        <v>49</v>
      </c>
      <c r="B20" s="164">
        <f t="shared" ref="B20:H20" si="9">B18+B19</f>
        <v>2998739.23</v>
      </c>
      <c r="C20" s="164">
        <f t="shared" si="9"/>
        <v>5205237.448</v>
      </c>
      <c r="D20" s="164">
        <f t="shared" si="9"/>
        <v>6470312.694</v>
      </c>
      <c r="E20" s="164">
        <f t="shared" si="9"/>
        <v>7635262.09</v>
      </c>
      <c r="F20" s="164">
        <f t="shared" si="9"/>
        <v>8713097.351</v>
      </c>
      <c r="G20" s="164">
        <f t="shared" si="9"/>
        <v>10415689.78</v>
      </c>
      <c r="H20" s="164">
        <f t="shared" si="9"/>
        <v>11981164.01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7" t="s">
        <v>440</v>
      </c>
      <c r="B21" s="159">
        <f>B20*'3. Assumptions and Drivers'!$G$46</f>
        <v>89962.1769</v>
      </c>
      <c r="C21" s="159">
        <f>C20*'3. Assumptions and Drivers'!$G$46</f>
        <v>156157.1234</v>
      </c>
      <c r="D21" s="159">
        <f>D20*'3. Assumptions and Drivers'!$G$46</f>
        <v>194109.3808</v>
      </c>
      <c r="E21" s="159">
        <f>E20*'3. Assumptions and Drivers'!$G$46</f>
        <v>229057.8627</v>
      </c>
      <c r="F21" s="159">
        <f>F20*'3. Assumptions and Drivers'!$G$46</f>
        <v>261392.9205</v>
      </c>
      <c r="G21" s="159">
        <f>G20*'3. Assumptions and Drivers'!$G$46</f>
        <v>312470.6934</v>
      </c>
      <c r="H21" s="159">
        <f>H20*'3. Assumptions and Drivers'!$G$46</f>
        <v>359434.9204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7" t="s">
        <v>117</v>
      </c>
      <c r="B22" s="171">
        <f t="shared" ref="B22:H22" si="10">B20-B21</f>
        <v>2908777.053</v>
      </c>
      <c r="C22" s="171">
        <f t="shared" si="10"/>
        <v>5049080.324</v>
      </c>
      <c r="D22" s="171">
        <f t="shared" si="10"/>
        <v>6276203.314</v>
      </c>
      <c r="E22" s="171">
        <f t="shared" si="10"/>
        <v>7406204.228</v>
      </c>
      <c r="F22" s="171">
        <f t="shared" si="10"/>
        <v>8451704.43</v>
      </c>
      <c r="G22" s="171">
        <f t="shared" si="10"/>
        <v>10103219.09</v>
      </c>
      <c r="H22" s="171">
        <f t="shared" si="10"/>
        <v>11621729.09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115"/>
      <c r="C23" s="115"/>
      <c r="D23" s="115"/>
      <c r="E23" s="115"/>
      <c r="F23" s="115"/>
      <c r="G23" s="115"/>
      <c r="H23" s="11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97" t="s">
        <v>441</v>
      </c>
      <c r="B24" s="115"/>
      <c r="C24" s="115"/>
      <c r="D24" s="115"/>
      <c r="E24" s="115"/>
      <c r="F24" s="115"/>
      <c r="G24" s="115"/>
      <c r="H24" s="11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7" t="s">
        <v>442</v>
      </c>
      <c r="B25" s="159">
        <f>SUM('6. OpEx and CapEx'!B3:M3)+SUM('6. OpEx and CapEx'!B8:M9)+SUM('6. OpEx and CapEx'!B10:M10)</f>
        <v>962366.6072</v>
      </c>
      <c r="C25" s="159">
        <f t="shared" ref="C25:H25" si="11">B25*(C8/B8)</f>
        <v>1273764.584</v>
      </c>
      <c r="D25" s="159">
        <f t="shared" si="11"/>
        <v>1537883.417</v>
      </c>
      <c r="E25" s="159">
        <f t="shared" si="11"/>
        <v>1762665.403</v>
      </c>
      <c r="F25" s="159">
        <f t="shared" si="11"/>
        <v>1953730.091</v>
      </c>
      <c r="G25" s="159">
        <f t="shared" si="11"/>
        <v>2268424.87</v>
      </c>
      <c r="H25" s="159">
        <f t="shared" si="11"/>
        <v>2534416.886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7" t="s">
        <v>443</v>
      </c>
      <c r="B26" s="164">
        <f>SUM('6. OpEx and CapEx'!B4:M4)+SUM('6. OpEx and CapEx'!B6:M7)+SUM('6. OpEx and CapEx'!B11:M11)</f>
        <v>1041669.175</v>
      </c>
      <c r="C26" s="164">
        <f t="shared" ref="C26:H26" si="12">B26*((C12+C13)/(B12+B13))</f>
        <v>1041669.175</v>
      </c>
      <c r="D26" s="164">
        <f t="shared" si="12"/>
        <v>1171877.822</v>
      </c>
      <c r="E26" s="164">
        <f t="shared" si="12"/>
        <v>1302086.468</v>
      </c>
      <c r="F26" s="164">
        <f t="shared" si="12"/>
        <v>1562503.762</v>
      </c>
      <c r="G26" s="164">
        <f t="shared" si="12"/>
        <v>1692712.409</v>
      </c>
      <c r="H26" s="164">
        <f t="shared" si="12"/>
        <v>1822921.056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7" t="s">
        <v>444</v>
      </c>
      <c r="B27" s="159">
        <f>SUM('6. OpEx and CapEx'!B20:M20)</f>
        <v>295140.74</v>
      </c>
      <c r="C27" s="159">
        <f>B27*(1+'3. Assumptions and Drivers'!$C$5)</f>
        <v>303994.9622</v>
      </c>
      <c r="D27" s="159">
        <f>C27*(1+'3. Assumptions and Drivers'!$C$5)</f>
        <v>313114.8111</v>
      </c>
      <c r="E27" s="159">
        <f>D27*(1+'3. Assumptions and Drivers'!$C$5)</f>
        <v>322508.2554</v>
      </c>
      <c r="F27" s="159">
        <f>E27*(1+'3. Assumptions and Drivers'!$C$5)</f>
        <v>332183.5031</v>
      </c>
      <c r="G27" s="159">
        <f>F27*(1+'3. Assumptions and Drivers'!$C$5)</f>
        <v>342149.0082</v>
      </c>
      <c r="H27" s="159">
        <f>G27*(1+'3. Assumptions and Drivers'!$C$5)</f>
        <v>352413.4784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7" t="s">
        <v>445</v>
      </c>
      <c r="B28" s="164">
        <f t="shared" ref="B28:H28" si="13">B25+B26+B27</f>
        <v>2299176.522</v>
      </c>
      <c r="C28" s="164">
        <f t="shared" si="13"/>
        <v>2619428.721</v>
      </c>
      <c r="D28" s="164">
        <f t="shared" si="13"/>
        <v>3022876.05</v>
      </c>
      <c r="E28" s="164">
        <f t="shared" si="13"/>
        <v>3387260.127</v>
      </c>
      <c r="F28" s="164">
        <f t="shared" si="13"/>
        <v>3848417.356</v>
      </c>
      <c r="G28" s="164">
        <f t="shared" si="13"/>
        <v>4303286.287</v>
      </c>
      <c r="H28" s="164">
        <f t="shared" si="13"/>
        <v>4709751.421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7" t="s">
        <v>53</v>
      </c>
      <c r="B29" s="159">
        <f t="shared" ref="B29:H29" si="14">B22-B28</f>
        <v>609600.5312</v>
      </c>
      <c r="C29" s="164">
        <f t="shared" si="14"/>
        <v>2429651.603</v>
      </c>
      <c r="D29" s="164">
        <f t="shared" si="14"/>
        <v>3253327.263</v>
      </c>
      <c r="E29" s="164">
        <f t="shared" si="14"/>
        <v>4018944.101</v>
      </c>
      <c r="F29" s="164">
        <f t="shared" si="14"/>
        <v>4603287.075</v>
      </c>
      <c r="G29" s="164">
        <f t="shared" si="14"/>
        <v>5799932.799</v>
      </c>
      <c r="H29" s="164">
        <f t="shared" si="14"/>
        <v>6911977.671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23" t="s">
        <v>446</v>
      </c>
      <c r="B30" s="200">
        <f t="shared" ref="B30:H30" si="15">(B29/B20)</f>
        <v>0.2032856092</v>
      </c>
      <c r="C30" s="200">
        <f t="shared" si="15"/>
        <v>0.4667705608</v>
      </c>
      <c r="D30" s="200">
        <f t="shared" si="15"/>
        <v>0.5028083521</v>
      </c>
      <c r="E30" s="200">
        <f t="shared" si="15"/>
        <v>0.5263662273</v>
      </c>
      <c r="F30" s="200">
        <f t="shared" si="15"/>
        <v>0.5283181043</v>
      </c>
      <c r="G30" s="200">
        <f t="shared" si="15"/>
        <v>0.5568457703</v>
      </c>
      <c r="H30" s="200">
        <f t="shared" si="15"/>
        <v>0.5769036852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7" t="s">
        <v>447</v>
      </c>
      <c r="B31" s="74">
        <f>'5. Payroll and Headcount'!O6+'5. Payroll and Headcount'!O7-'5. Payroll and Headcount'!C6-'5. Payroll and Headcount'!C7</f>
        <v>2</v>
      </c>
      <c r="C31" s="74">
        <f t="shared" ref="C31:H31" si="16">MAX(0,C12-B12)</f>
        <v>0</v>
      </c>
      <c r="D31" s="74">
        <f t="shared" si="16"/>
        <v>1</v>
      </c>
      <c r="E31" s="74">
        <f t="shared" si="16"/>
        <v>1</v>
      </c>
      <c r="F31" s="74">
        <f t="shared" si="16"/>
        <v>1</v>
      </c>
      <c r="G31" s="74">
        <f t="shared" si="16"/>
        <v>1</v>
      </c>
      <c r="H31" s="74">
        <f t="shared" si="16"/>
        <v>1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7" t="s">
        <v>448</v>
      </c>
      <c r="B32" s="201">
        <f>SUM('6. OpEx and CapEx'!B29:M29)</f>
        <v>31000</v>
      </c>
      <c r="C32" s="202">
        <f>C31*('3. Assumptions and Drivers'!$K$21+'3. Assumptions and Drivers'!$K$22+'3. Assumptions and Drivers'!$K$23+'3. Assumptions and Drivers'!$K$24)</f>
        <v>0</v>
      </c>
      <c r="D32" s="201">
        <f>D31*('3. Assumptions and Drivers'!$K$21+'3. Assumptions and Drivers'!$K$22+'3. Assumptions and Drivers'!$K$23+'3. Assumptions and Drivers'!$K$24)</f>
        <v>8000</v>
      </c>
      <c r="E32" s="201">
        <f>E31*('3. Assumptions and Drivers'!$K$21+'3. Assumptions and Drivers'!$K$22+'3. Assumptions and Drivers'!$K$23+'3. Assumptions and Drivers'!$K$24)</f>
        <v>8000</v>
      </c>
      <c r="F32" s="201">
        <f>F31*('3. Assumptions and Drivers'!$K$21+'3. Assumptions and Drivers'!$K$22+'3. Assumptions and Drivers'!$K$23+'3. Assumptions and Drivers'!$K$24)</f>
        <v>8000</v>
      </c>
      <c r="G32" s="201">
        <f>G31*('3. Assumptions and Drivers'!$K$21+'3. Assumptions and Drivers'!$K$22+'3. Assumptions and Drivers'!$K$23+'3. Assumptions and Drivers'!$K$24)</f>
        <v>8000</v>
      </c>
      <c r="H32" s="201">
        <f>H31*('3. Assumptions and Drivers'!$K$21+'3. Assumptions and Drivers'!$K$22+'3. Assumptions and Drivers'!$K$23+'3. Assumptions and Drivers'!$K$24)</f>
        <v>8000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7" t="s">
        <v>449</v>
      </c>
      <c r="B33" s="201">
        <f>SUM('7. Debt and PP&amp;E'!B5:M5)</f>
        <v>10201.36705</v>
      </c>
      <c r="C33" s="201">
        <f t="shared" ref="C33:H33" si="17">B33+(C32/7)</f>
        <v>10201.36705</v>
      </c>
      <c r="D33" s="201">
        <f t="shared" si="17"/>
        <v>11344.22419</v>
      </c>
      <c r="E33" s="201">
        <f t="shared" si="17"/>
        <v>12487.08133</v>
      </c>
      <c r="F33" s="201">
        <f t="shared" si="17"/>
        <v>13629.93848</v>
      </c>
      <c r="G33" s="201">
        <f t="shared" si="17"/>
        <v>14772.79562</v>
      </c>
      <c r="H33" s="201">
        <f t="shared" si="17"/>
        <v>15915.65276</v>
      </c>
      <c r="I33" s="127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7" t="s">
        <v>122</v>
      </c>
      <c r="B34" s="201">
        <f t="shared" ref="B34:H34" si="18">B29-B33</f>
        <v>599399.1641</v>
      </c>
      <c r="C34" s="164">
        <f t="shared" si="18"/>
        <v>2419450.236</v>
      </c>
      <c r="D34" s="164">
        <f t="shared" si="18"/>
        <v>3241983.039</v>
      </c>
      <c r="E34" s="164">
        <f t="shared" si="18"/>
        <v>4006457.02</v>
      </c>
      <c r="F34" s="164">
        <f t="shared" si="18"/>
        <v>4589657.136</v>
      </c>
      <c r="G34" s="164">
        <f t="shared" si="18"/>
        <v>5785160.004</v>
      </c>
      <c r="H34" s="164">
        <f t="shared" si="18"/>
        <v>6896062.018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2" t="s">
        <v>450</v>
      </c>
      <c r="B35" s="77">
        <f>'7. Debt and PP&amp;E'!N14</f>
        <v>11874.54645</v>
      </c>
      <c r="C35" s="72">
        <f>CUMIPMT('3. Assumptions and Drivers'!$K$35/12,'3. Assumptions and Drivers'!$K$36+36,'3. Assumptions and Drivers'!$K$33,49,60,0)*-1</f>
        <v>12809.09089</v>
      </c>
      <c r="D35" s="203">
        <f>CUMIPMT('3. Assumptions and Drivers'!$K$35/12,'3. Assumptions and Drivers'!$K$36+36,'3. Assumptions and Drivers'!$K$33,61,72,0)*-1</f>
        <v>11008.71162</v>
      </c>
      <c r="E35" s="203">
        <f>CUMIPMT('3. Assumptions and Drivers'!$K$35/12,'3. Assumptions and Drivers'!$K$36+36,'3. Assumptions and Drivers'!$K$33,73,84,0)*-1</f>
        <v>9009.924348</v>
      </c>
      <c r="F35" s="203">
        <f>CUMIPMT('3. Assumptions and Drivers'!$K$35/12,'3. Assumptions and Drivers'!$K$36+36,'3. Assumptions and Drivers'!$K$33,85,96,0)*-1</f>
        <v>6790.863817</v>
      </c>
      <c r="G35" s="203">
        <f>CUMIPMT('3. Assumptions and Drivers'!$K$35/12,'3. Assumptions and Drivers'!$K$36+36,'3. Assumptions and Drivers'!$K$33,97,108,0)*-1</f>
        <v>4327.25516</v>
      </c>
      <c r="H35" s="203">
        <f>CUMIPMT('3. Assumptions and Drivers'!$K$35/12,'3. Assumptions and Drivers'!$K$36+36,'3. Assumptions and Drivers'!$K$33,109,120,0)*-1</f>
        <v>1592.148327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2" t="s">
        <v>124</v>
      </c>
      <c r="B36" s="204">
        <f t="shared" ref="B36:H36" si="19">B34-B35</f>
        <v>587524.6177</v>
      </c>
      <c r="C36" s="47">
        <f t="shared" si="19"/>
        <v>2406641.145</v>
      </c>
      <c r="D36" s="47">
        <f t="shared" si="19"/>
        <v>3230974.328</v>
      </c>
      <c r="E36" s="47">
        <f t="shared" si="19"/>
        <v>3997447.095</v>
      </c>
      <c r="F36" s="47">
        <f t="shared" si="19"/>
        <v>4582866.272</v>
      </c>
      <c r="G36" s="47">
        <f t="shared" si="19"/>
        <v>5780832.748</v>
      </c>
      <c r="H36" s="47">
        <f t="shared" si="19"/>
        <v>6894469.87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205" t="s">
        <v>451</v>
      </c>
      <c r="B37" s="139">
        <f>SUM('8. Financial Statements'!B14:M15)/SUM('8. Financial Statements'!B13:M13)</f>
        <v>0.2797820259</v>
      </c>
      <c r="C37" s="139">
        <f t="shared" ref="C37:H37" si="20">$B$37</f>
        <v>0.2797820259</v>
      </c>
      <c r="D37" s="139">
        <f t="shared" si="20"/>
        <v>0.2797820259</v>
      </c>
      <c r="E37" s="139">
        <f t="shared" si="20"/>
        <v>0.2797820259</v>
      </c>
      <c r="F37" s="139">
        <f t="shared" si="20"/>
        <v>0.2797820259</v>
      </c>
      <c r="G37" s="139">
        <f t="shared" si="20"/>
        <v>0.2797820259</v>
      </c>
      <c r="H37" s="139">
        <f t="shared" si="20"/>
        <v>0.2797820259</v>
      </c>
      <c r="I37" s="3"/>
      <c r="J37" s="144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7" t="s">
        <v>452</v>
      </c>
      <c r="B38" s="159">
        <f t="shared" ref="B38:H38" si="21">MAX(0,B36)*B37</f>
        <v>164378.8278</v>
      </c>
      <c r="C38" s="159">
        <f t="shared" si="21"/>
        <v>673334.935</v>
      </c>
      <c r="D38" s="159">
        <f t="shared" si="21"/>
        <v>903968.5429</v>
      </c>
      <c r="E38" s="164">
        <f t="shared" si="21"/>
        <v>1118413.847</v>
      </c>
      <c r="F38" s="164">
        <f t="shared" si="21"/>
        <v>1282203.61</v>
      </c>
      <c r="G38" s="164">
        <f t="shared" si="21"/>
        <v>1617373.098</v>
      </c>
      <c r="H38" s="164">
        <f t="shared" si="21"/>
        <v>1928948.748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2" t="s">
        <v>51</v>
      </c>
      <c r="B39" s="206">
        <f t="shared" ref="B39:H39" si="22">B36-B38</f>
        <v>423145.7899</v>
      </c>
      <c r="C39" s="207">
        <f t="shared" si="22"/>
        <v>1733306.21</v>
      </c>
      <c r="D39" s="207">
        <f t="shared" si="22"/>
        <v>2327005.785</v>
      </c>
      <c r="E39" s="207">
        <f t="shared" si="22"/>
        <v>2879033.249</v>
      </c>
      <c r="F39" s="207">
        <f t="shared" si="22"/>
        <v>3300662.662</v>
      </c>
      <c r="G39" s="207">
        <f t="shared" si="22"/>
        <v>4163459.651</v>
      </c>
      <c r="H39" s="207">
        <f t="shared" si="22"/>
        <v>4965521.122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40" t="s">
        <v>453</v>
      </c>
      <c r="B41" s="170">
        <f t="shared" ref="B41:H41" si="23">B34-(MAX(0,B34)*B37)+B33-B32</f>
        <v>410899.4187</v>
      </c>
      <c r="C41" s="171">
        <f t="shared" si="23"/>
        <v>1752732.914</v>
      </c>
      <c r="D41" s="171">
        <f t="shared" si="23"/>
        <v>2338278.681</v>
      </c>
      <c r="E41" s="171">
        <f t="shared" si="23"/>
        <v>2890009.439</v>
      </c>
      <c r="F41" s="171">
        <f t="shared" si="23"/>
        <v>3311183.503</v>
      </c>
      <c r="G41" s="171">
        <f t="shared" si="23"/>
        <v>4173349.013</v>
      </c>
      <c r="H41" s="171">
        <f t="shared" si="23"/>
        <v>4974583.469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2547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7.75"/>
    <col customWidth="1" min="2" max="2" width="12.75"/>
    <col customWidth="1" min="3" max="3" width="17.13"/>
    <col customWidth="1" min="4" max="8" width="13.0"/>
    <col customWidth="1" min="9" max="9" width="9.63"/>
    <col customWidth="1" min="10" max="10" width="17.13"/>
    <col customWidth="1" min="11" max="11" width="23.25"/>
  </cols>
  <sheetData>
    <row r="1">
      <c r="A1" s="69" t="s">
        <v>80</v>
      </c>
      <c r="B1" s="195" t="s">
        <v>66</v>
      </c>
      <c r="C1" s="195" t="s">
        <v>68</v>
      </c>
      <c r="D1" s="195" t="s">
        <v>70</v>
      </c>
      <c r="E1" s="195" t="s">
        <v>72</v>
      </c>
      <c r="F1" s="195" t="s">
        <v>74</v>
      </c>
      <c r="G1" s="195" t="s">
        <v>76</v>
      </c>
      <c r="H1" s="195" t="s">
        <v>78</v>
      </c>
      <c r="I1" s="196"/>
      <c r="J1" s="196"/>
      <c r="K1" s="196"/>
      <c r="L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197" t="s">
        <v>454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40" t="s">
        <v>455</v>
      </c>
      <c r="B3" s="3"/>
      <c r="C3" s="3"/>
      <c r="D3" s="3"/>
      <c r="E3" s="3"/>
      <c r="F3" s="3"/>
      <c r="G3" s="3"/>
      <c r="H3" s="3"/>
      <c r="I3" s="3"/>
      <c r="J3" s="208" t="s">
        <v>456</v>
      </c>
      <c r="K3" s="209"/>
      <c r="L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7" t="s">
        <v>453</v>
      </c>
      <c r="B4" s="159">
        <f>'9. Multi-Year Projection'!B41</f>
        <v>410899.4187</v>
      </c>
      <c r="C4" s="159">
        <f>'9. Multi-Year Projection'!C41</f>
        <v>1752732.914</v>
      </c>
      <c r="D4" s="159">
        <f>'9. Multi-Year Projection'!D41</f>
        <v>2338278.681</v>
      </c>
      <c r="E4" s="159">
        <f>'9. Multi-Year Projection'!E41</f>
        <v>2890009.439</v>
      </c>
      <c r="F4" s="159">
        <f>'9. Multi-Year Projection'!F41</f>
        <v>3311183.503</v>
      </c>
      <c r="G4" s="159">
        <f>'9. Multi-Year Projection'!G41</f>
        <v>4173349.013</v>
      </c>
      <c r="H4" s="159">
        <f>'9. Multi-Year Projection'!H41</f>
        <v>4974583.469</v>
      </c>
      <c r="I4" s="3"/>
      <c r="J4" s="210" t="s">
        <v>457</v>
      </c>
      <c r="K4" s="211">
        <v>7.0</v>
      </c>
      <c r="L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7" t="s">
        <v>458</v>
      </c>
      <c r="B5" s="212">
        <v>1.0</v>
      </c>
      <c r="C5" s="212">
        <v>2.0</v>
      </c>
      <c r="D5" s="212">
        <v>3.0</v>
      </c>
      <c r="E5" s="212">
        <v>4.0</v>
      </c>
      <c r="F5" s="212">
        <v>5.0</v>
      </c>
      <c r="G5" s="212">
        <v>6.0</v>
      </c>
      <c r="H5" s="212">
        <v>7.0</v>
      </c>
      <c r="I5" s="3"/>
      <c r="J5" s="213" t="s">
        <v>459</v>
      </c>
      <c r="K5" s="214" t="s">
        <v>460</v>
      </c>
      <c r="L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215" t="s">
        <v>461</v>
      </c>
      <c r="K6" s="216">
        <f t="array" ref="K6">XLOOKUP(K4,C52:C58,XLOOKUP(K5,D51:G51,D52:G58))</f>
        <v>2900676</v>
      </c>
      <c r="L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7" t="s">
        <v>462</v>
      </c>
      <c r="B7" s="139">
        <f>'3. Assumptions and Drivers'!$K$35</f>
        <v>0.105</v>
      </c>
      <c r="C7" s="3"/>
      <c r="D7" s="3"/>
      <c r="E7" s="3"/>
      <c r="F7" s="3"/>
      <c r="G7" s="3"/>
      <c r="H7" s="3"/>
      <c r="I7" s="3"/>
      <c r="J7" s="3"/>
      <c r="K7" s="3"/>
      <c r="L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7" t="s">
        <v>463</v>
      </c>
      <c r="B8" s="139">
        <f>'9. Multi-Year Projection'!$B$37</f>
        <v>0.2797820259</v>
      </c>
      <c r="C8" s="3"/>
      <c r="D8" s="3"/>
      <c r="E8" s="3"/>
      <c r="F8" s="3"/>
      <c r="G8" s="3"/>
      <c r="H8" s="3"/>
      <c r="I8" s="3"/>
      <c r="J8" s="3"/>
      <c r="K8" s="3"/>
      <c r="L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7" t="s">
        <v>464</v>
      </c>
      <c r="B9" s="128">
        <v>0.045</v>
      </c>
      <c r="C9" s="3"/>
      <c r="D9" s="3"/>
      <c r="E9" s="3"/>
      <c r="F9" s="3"/>
      <c r="G9" s="3"/>
      <c r="H9" s="3"/>
      <c r="I9" s="3"/>
      <c r="J9" s="3"/>
      <c r="K9" s="3"/>
      <c r="L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7" t="s">
        <v>465</v>
      </c>
      <c r="B10" s="217">
        <v>0.9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7" t="s">
        <v>466</v>
      </c>
      <c r="B11" s="128">
        <v>0.09</v>
      </c>
      <c r="C11" s="3"/>
      <c r="D11" s="3"/>
      <c r="E11" s="3"/>
      <c r="F11" s="3"/>
      <c r="G11" s="3"/>
      <c r="H11" s="3"/>
      <c r="I11" s="3"/>
      <c r="J11" s="3"/>
      <c r="K11" s="3"/>
      <c r="L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7" t="s">
        <v>467</v>
      </c>
      <c r="B12" s="139">
        <f>B9+B10*(B11-B9)</f>
        <v>0.0855</v>
      </c>
      <c r="C12" s="3"/>
      <c r="D12" s="3"/>
      <c r="E12" s="3"/>
      <c r="F12" s="3"/>
      <c r="G12" s="3"/>
      <c r="H12" s="3"/>
      <c r="I12" s="3"/>
      <c r="J12" s="3"/>
      <c r="K12" s="3"/>
      <c r="L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7" t="s">
        <v>468</v>
      </c>
      <c r="B13" s="159">
        <f>'7. Debt and PP&amp;E'!M12</f>
        <v>106427.3525</v>
      </c>
      <c r="C13" s="3"/>
      <c r="D13" s="3"/>
      <c r="E13" s="3"/>
      <c r="F13" s="3"/>
      <c r="G13" s="3"/>
      <c r="H13" s="3"/>
      <c r="I13" s="3"/>
      <c r="J13" s="3"/>
      <c r="K13" s="3"/>
      <c r="L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7" t="s">
        <v>469</v>
      </c>
      <c r="B14" s="159">
        <f>'8. Financial Statements'!M51</f>
        <v>413495.2867</v>
      </c>
      <c r="C14" s="3"/>
      <c r="D14" s="3"/>
      <c r="E14" s="3"/>
      <c r="F14" s="3"/>
      <c r="G14" s="3"/>
      <c r="H14" s="3"/>
      <c r="I14" s="3"/>
      <c r="J14" s="3"/>
      <c r="K14" s="3"/>
      <c r="L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7" t="s">
        <v>470</v>
      </c>
      <c r="B15" s="139">
        <f>B13/(B13+B14)</f>
        <v>0.2046984388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37" t="s">
        <v>471</v>
      </c>
      <c r="B16" s="139">
        <f>B14/(B13+B14)</f>
        <v>0.7953015612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40" t="s">
        <v>472</v>
      </c>
      <c r="B17" s="218">
        <f>B16*B12+B15*B7*(1-B8)</f>
        <v>0.08347817045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40" t="s">
        <v>473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37" t="s">
        <v>474</v>
      </c>
      <c r="B20" s="128">
        <v>0.025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7" t="s">
        <v>475</v>
      </c>
      <c r="B21" s="219">
        <v>6.0</v>
      </c>
      <c r="C21" s="3"/>
      <c r="D21" s="3"/>
      <c r="E21" s="3"/>
      <c r="F21" s="3"/>
      <c r="G21" s="3"/>
      <c r="H21" s="3"/>
      <c r="I21" s="3"/>
      <c r="J21" s="3"/>
      <c r="K21" s="3"/>
      <c r="L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7" t="s">
        <v>476</v>
      </c>
      <c r="B22" s="164">
        <f>'9. Multi-Year Projection'!H29</f>
        <v>6911977.671</v>
      </c>
      <c r="C22" s="3"/>
      <c r="D22" s="3"/>
      <c r="E22" s="3"/>
      <c r="F22" s="3"/>
      <c r="G22" s="3"/>
      <c r="H22" s="3"/>
      <c r="I22" s="3"/>
      <c r="J22" s="3"/>
      <c r="K22" s="3"/>
      <c r="L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7" t="s">
        <v>477</v>
      </c>
      <c r="B23" s="164">
        <f>H4</f>
        <v>4974583.469</v>
      </c>
      <c r="C23" s="3"/>
      <c r="D23" s="3"/>
      <c r="E23" s="3"/>
      <c r="F23" s="3"/>
      <c r="G23" s="3"/>
      <c r="H23" s="3"/>
      <c r="I23" s="3"/>
      <c r="J23" s="3"/>
      <c r="K23" s="3"/>
      <c r="L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7" t="s">
        <v>478</v>
      </c>
      <c r="B24" s="164">
        <f>B23*(1+B20)/(B17-B20)</f>
        <v>87194042.1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7" t="s">
        <v>479</v>
      </c>
      <c r="B25" s="164">
        <f>B22*B21</f>
        <v>41471866.03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7" t="s">
        <v>480</v>
      </c>
      <c r="B26" s="164">
        <f>AVERAGE(B24,B25)</f>
        <v>64332954.06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40" t="s">
        <v>481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7" t="s">
        <v>482</v>
      </c>
      <c r="B29" s="220">
        <f t="shared" ref="B29:H29" si="1">1/(1+$B$17)^B5</f>
        <v>0.9229535281</v>
      </c>
      <c r="C29" s="220">
        <f t="shared" si="1"/>
        <v>0.851843215</v>
      </c>
      <c r="D29" s="220">
        <f t="shared" si="1"/>
        <v>0.7862117006</v>
      </c>
      <c r="E29" s="220">
        <f t="shared" si="1"/>
        <v>0.7256368629</v>
      </c>
      <c r="F29" s="220">
        <f t="shared" si="1"/>
        <v>0.6697291027</v>
      </c>
      <c r="G29" s="220">
        <f t="shared" si="1"/>
        <v>0.6181288382</v>
      </c>
      <c r="H29" s="220">
        <f t="shared" si="1"/>
        <v>0.570504192</v>
      </c>
      <c r="I29" s="3"/>
      <c r="J29" s="3"/>
      <c r="K29" s="3"/>
      <c r="L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7" t="s">
        <v>483</v>
      </c>
      <c r="B30" s="164">
        <f t="shared" ref="B30:H30" si="2">B4*B29</f>
        <v>379241.0682</v>
      </c>
      <c r="C30" s="164">
        <f t="shared" si="2"/>
        <v>1493053.641</v>
      </c>
      <c r="D30" s="164">
        <f t="shared" si="2"/>
        <v>1838382.058</v>
      </c>
      <c r="E30" s="164">
        <f t="shared" si="2"/>
        <v>2097097.383</v>
      </c>
      <c r="F30" s="164">
        <f t="shared" si="2"/>
        <v>2217595.956</v>
      </c>
      <c r="G30" s="164">
        <f t="shared" si="2"/>
        <v>2579667.377</v>
      </c>
      <c r="H30" s="164">
        <f t="shared" si="2"/>
        <v>2838020.723</v>
      </c>
      <c r="I30" s="3"/>
      <c r="J30" s="3"/>
      <c r="K30" s="3"/>
      <c r="L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7" t="s">
        <v>484</v>
      </c>
      <c r="B31" s="164">
        <f>SUM(B30:H30)</f>
        <v>13443058.21</v>
      </c>
      <c r="C31" s="115"/>
      <c r="D31" s="115"/>
      <c r="E31" s="115"/>
      <c r="F31" s="115"/>
      <c r="G31" s="115"/>
      <c r="H31" s="115"/>
      <c r="I31" s="3"/>
      <c r="J31" s="3"/>
      <c r="K31" s="3"/>
      <c r="L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7" t="s">
        <v>485</v>
      </c>
      <c r="B32" s="164">
        <f>B26*H29</f>
        <v>36702219.98</v>
      </c>
      <c r="C32" s="115"/>
      <c r="D32" s="115"/>
      <c r="E32" s="115"/>
      <c r="F32" s="115"/>
      <c r="G32" s="115"/>
      <c r="H32" s="115"/>
      <c r="I32" s="3"/>
      <c r="J32" s="3"/>
      <c r="K32" s="3"/>
      <c r="L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40" t="s">
        <v>486</v>
      </c>
      <c r="B33" s="171">
        <f>B31+B32</f>
        <v>50145278.18</v>
      </c>
      <c r="C33" s="115"/>
      <c r="D33" s="115"/>
      <c r="E33" s="115"/>
      <c r="F33" s="115"/>
      <c r="G33" s="115"/>
      <c r="H33" s="115"/>
      <c r="I33" s="3"/>
      <c r="J33" s="3"/>
      <c r="K33" s="3"/>
      <c r="L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40" t="s">
        <v>487</v>
      </c>
      <c r="B35" s="115"/>
      <c r="C35" s="3"/>
      <c r="D35" s="3"/>
      <c r="E35" s="3"/>
      <c r="F35" s="3"/>
      <c r="G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7" t="s">
        <v>486</v>
      </c>
      <c r="B36" s="164">
        <f>B33</f>
        <v>50145278.18</v>
      </c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7" t="s">
        <v>488</v>
      </c>
      <c r="B37" s="164">
        <f>'8. Financial Statements'!M40</f>
        <v>1052976.114</v>
      </c>
      <c r="C37" s="3"/>
      <c r="D37" s="3"/>
      <c r="E37" s="3"/>
      <c r="F37" s="3"/>
      <c r="G37" s="3"/>
      <c r="H37" s="3"/>
      <c r="I37" s="3"/>
      <c r="J37" s="3"/>
      <c r="K37" s="3"/>
      <c r="L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7" t="s">
        <v>489</v>
      </c>
      <c r="B38" s="164">
        <f>-'8. Financial Statements'!M46</f>
        <v>-106427.3525</v>
      </c>
      <c r="C38" s="3"/>
      <c r="D38" s="3"/>
      <c r="E38" s="3"/>
      <c r="F38" s="3"/>
      <c r="G38" s="3"/>
      <c r="H38" s="3"/>
      <c r="I38" s="3"/>
      <c r="J38" s="3"/>
      <c r="K38" s="3"/>
      <c r="L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40" t="s">
        <v>490</v>
      </c>
      <c r="B39" s="171">
        <f>SUM(B36:B38)</f>
        <v>51091826.95</v>
      </c>
      <c r="C39" s="3"/>
      <c r="D39" s="3"/>
      <c r="E39" s="3"/>
      <c r="F39" s="3"/>
      <c r="G39" s="3"/>
      <c r="H39" s="3"/>
      <c r="I39" s="3"/>
      <c r="J39" s="3"/>
      <c r="K39" s="3"/>
      <c r="L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40" t="s">
        <v>491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22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221"/>
      <c r="C43" s="222">
        <f>$B$17+(-0.02)</f>
        <v>0.06347817045</v>
      </c>
      <c r="D43" s="222">
        <f>$B$17+(-0.01)</f>
        <v>0.07347817045</v>
      </c>
      <c r="E43" s="222">
        <f>$B$17+(0)</f>
        <v>0.08347817045</v>
      </c>
      <c r="F43" s="222">
        <f>$B$17+(0.01)</f>
        <v>0.09347817045</v>
      </c>
      <c r="G43" s="222">
        <f>$B$17+(0.02)</f>
        <v>0.1034781704</v>
      </c>
      <c r="H43" s="3"/>
      <c r="I43" s="3"/>
      <c r="J43" s="3"/>
      <c r="K43" s="3"/>
      <c r="L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222">
        <f>$B$20+(-0.01)</f>
        <v>0.015</v>
      </c>
      <c r="C44" s="164">
        <f t="shared" ref="C44:G44" si="3">SUMPRODUCT($B$4:$H$4,1/(1+C$43)^$B$5:$H$5)+($H$4*(1+$B44)/(C$43-$B44))/(1+C$43)^$H$5+$B$37+$B$38</f>
        <v>83336456.8</v>
      </c>
      <c r="D44" s="164">
        <f t="shared" si="3"/>
        <v>67557873.06</v>
      </c>
      <c r="E44" s="164">
        <f t="shared" si="3"/>
        <v>56455436.34</v>
      </c>
      <c r="F44" s="164">
        <f t="shared" si="3"/>
        <v>48238009.81</v>
      </c>
      <c r="G44" s="164">
        <f t="shared" si="3"/>
        <v>41924436.24</v>
      </c>
      <c r="H44" s="3"/>
      <c r="I44" s="3"/>
      <c r="J44" s="3"/>
      <c r="K44" s="3"/>
      <c r="L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222">
        <f>$B$20+(-0.005)</f>
        <v>0.02</v>
      </c>
      <c r="C45" s="164">
        <f t="shared" ref="C45:G45" si="4">SUMPRODUCT($B$4:$H$4,1/(1+C$43)^$B$5:$H$5)+($H$4*(1+$B45)/(C$43-$B45))/(1+C$43)^$H$5+$B$37+$B$38</f>
        <v>91493593.99</v>
      </c>
      <c r="D45" s="164">
        <f t="shared" si="4"/>
        <v>72755404.25</v>
      </c>
      <c r="E45" s="164">
        <f t="shared" si="4"/>
        <v>59992388.47</v>
      </c>
      <c r="F45" s="164">
        <f t="shared" si="4"/>
        <v>50761251.3</v>
      </c>
      <c r="G45" s="164">
        <f t="shared" si="4"/>
        <v>43789678.27</v>
      </c>
      <c r="H45" s="3"/>
      <c r="I45" s="3"/>
      <c r="J45" s="3"/>
      <c r="K45" s="3"/>
      <c r="L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222">
        <f>$B$20+(0)</f>
        <v>0.025</v>
      </c>
      <c r="C46" s="164">
        <f t="shared" ref="C46:G46" si="5">SUMPRODUCT($B$4:$H$4,1/(1+C$43)^$B$5:$H$5)+($H$4*(1+$B46)/(C$43-$B46))/(1+C$43)^$H$5+$B$37+$B$38</f>
        <v>101770670.1</v>
      </c>
      <c r="D46" s="164">
        <f t="shared" si="5"/>
        <v>79025073.93</v>
      </c>
      <c r="E46" s="223">
        <f t="shared" si="5"/>
        <v>64134173.5</v>
      </c>
      <c r="F46" s="164">
        <f t="shared" si="5"/>
        <v>53652966.64</v>
      </c>
      <c r="G46" s="164">
        <f t="shared" si="5"/>
        <v>45892596.85</v>
      </c>
      <c r="H46" s="3"/>
      <c r="I46" s="3"/>
      <c r="J46" s="3"/>
      <c r="K46" s="3"/>
      <c r="L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222">
        <f>$B$20+(0.005)</f>
        <v>0.03</v>
      </c>
      <c r="C47" s="164">
        <f t="shared" ref="C47:G47" si="6">SUMPRODUCT($B$4:$H$4,1/(1+C$43)^$B$5:$H$5)+($H$4*(1+$B47)/(C$43-$B47))/(1+C$43)^$H$5+$B$37+$B$38</f>
        <v>115117530.5</v>
      </c>
      <c r="D47" s="164">
        <f t="shared" si="6"/>
        <v>86736770.63</v>
      </c>
      <c r="E47" s="164">
        <f t="shared" si="6"/>
        <v>69050439.97</v>
      </c>
      <c r="F47" s="164">
        <f t="shared" si="6"/>
        <v>57000226.83</v>
      </c>
      <c r="G47" s="164">
        <f t="shared" si="6"/>
        <v>48281711.8</v>
      </c>
      <c r="H47" s="3"/>
      <c r="I47" s="3"/>
      <c r="J47" s="3"/>
      <c r="K47" s="3"/>
      <c r="L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222">
        <f>$B$20+(0.01)</f>
        <v>0.035</v>
      </c>
      <c r="C48" s="164">
        <f t="shared" ref="C48:G48" si="7">SUMPRODUCT($B$4:$H$4,1/(1+C$43)^$B$5:$H$5)+($H$4*(1+$B48)/(C$43-$B48))/(1+C$43)^$H$5+$B$37+$B$38</f>
        <v>133151089.6</v>
      </c>
      <c r="D48" s="164">
        <f t="shared" si="7"/>
        <v>96452641.81</v>
      </c>
      <c r="E48" s="164">
        <f t="shared" si="7"/>
        <v>74980826.08</v>
      </c>
      <c r="F48" s="164">
        <f t="shared" si="7"/>
        <v>60919881.84</v>
      </c>
      <c r="G48" s="164">
        <f t="shared" si="7"/>
        <v>51019713.84</v>
      </c>
      <c r="H48" s="3"/>
      <c r="I48" s="3"/>
      <c r="J48" s="3"/>
      <c r="K48" s="3"/>
      <c r="L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140"/>
      <c r="D50" s="140"/>
      <c r="E50" s="140"/>
      <c r="F50" s="140"/>
      <c r="G50" s="3"/>
      <c r="H50" s="3"/>
      <c r="I50" s="3"/>
      <c r="J50" s="3"/>
      <c r="K50" s="3"/>
      <c r="L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224" t="s">
        <v>492</v>
      </c>
      <c r="D51" s="225" t="s">
        <v>493</v>
      </c>
      <c r="E51" s="226" t="s">
        <v>117</v>
      </c>
      <c r="F51" s="226" t="s">
        <v>53</v>
      </c>
      <c r="G51" s="226" t="s">
        <v>460</v>
      </c>
      <c r="H51" s="3"/>
      <c r="I51" s="3"/>
      <c r="J51" s="3"/>
      <c r="K51" s="3"/>
      <c r="L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224">
        <v>4.0</v>
      </c>
      <c r="D52" s="225">
        <v>514.0</v>
      </c>
      <c r="E52" s="226">
        <v>2908777.0</v>
      </c>
      <c r="F52" s="226">
        <v>609601.0</v>
      </c>
      <c r="G52" s="226">
        <v>412495.0</v>
      </c>
      <c r="H52" s="3"/>
      <c r="I52" s="3"/>
      <c r="J52" s="3"/>
      <c r="K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224">
        <v>5.0</v>
      </c>
      <c r="D53" s="225">
        <v>680.0</v>
      </c>
      <c r="E53" s="226">
        <v>5049080.0</v>
      </c>
      <c r="F53" s="226">
        <v>2429652.0</v>
      </c>
      <c r="G53" s="226">
        <v>1759174.0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224">
        <v>6.0</v>
      </c>
      <c r="D54" s="225">
        <v>821.0</v>
      </c>
      <c r="E54" s="226">
        <v>6276203.0</v>
      </c>
      <c r="F54" s="226">
        <v>3253327.0</v>
      </c>
      <c r="G54" s="226">
        <v>2346910.0</v>
      </c>
      <c r="H54" s="3"/>
      <c r="I54" s="3"/>
      <c r="J54" s="3"/>
      <c r="K54" s="3"/>
      <c r="L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224">
        <v>7.0</v>
      </c>
      <c r="D55" s="225">
        <v>941.0</v>
      </c>
      <c r="E55" s="226">
        <v>7406204.0</v>
      </c>
      <c r="F55" s="226">
        <v>4018944.0</v>
      </c>
      <c r="G55" s="226">
        <v>2900676.0</v>
      </c>
      <c r="H55" s="3"/>
      <c r="I55" s="3"/>
      <c r="J55" s="3"/>
      <c r="K55" s="3"/>
      <c r="L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224">
        <v>8.0</v>
      </c>
      <c r="D56" s="225">
        <v>1043.0</v>
      </c>
      <c r="E56" s="226">
        <v>8451704.0</v>
      </c>
      <c r="F56" s="226">
        <v>4603287.0</v>
      </c>
      <c r="G56" s="226">
        <v>3323403.0</v>
      </c>
      <c r="H56" s="3"/>
      <c r="I56" s="3"/>
      <c r="J56" s="3"/>
      <c r="K56" s="3"/>
      <c r="L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224">
        <v>9.0</v>
      </c>
      <c r="D57" s="225">
        <v>1211.0</v>
      </c>
      <c r="E57" s="226">
        <v>1.0103219E7</v>
      </c>
      <c r="F57" s="226">
        <v>5799933.0</v>
      </c>
      <c r="G57" s="226">
        <v>4188751.0</v>
      </c>
      <c r="H57" s="3"/>
      <c r="I57" s="3"/>
      <c r="J57" s="3"/>
      <c r="K57" s="3"/>
      <c r="L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224">
        <v>10.0</v>
      </c>
      <c r="D58" s="225">
        <v>1353.0</v>
      </c>
      <c r="E58" s="226">
        <v>1.1621729E7</v>
      </c>
      <c r="F58" s="226">
        <v>6911978.0</v>
      </c>
      <c r="G58" s="226">
        <v>4992943.0</v>
      </c>
      <c r="H58" s="3"/>
      <c r="I58" s="3"/>
      <c r="J58" s="3"/>
      <c r="K58" s="3"/>
      <c r="L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174"/>
      <c r="F71" s="3"/>
      <c r="G71" s="3"/>
      <c r="H71" s="3"/>
      <c r="I71" s="3"/>
      <c r="J71" s="3"/>
      <c r="K71" s="3"/>
      <c r="L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174"/>
      <c r="F72" s="3"/>
      <c r="G72" s="3"/>
      <c r="H72" s="3"/>
      <c r="I72" s="3"/>
      <c r="J72" s="3"/>
      <c r="K72" s="3"/>
      <c r="L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74"/>
      <c r="B73" s="174"/>
      <c r="C73" s="174"/>
      <c r="D73" s="174"/>
      <c r="E73" s="174"/>
      <c r="F73" s="3"/>
      <c r="G73" s="3"/>
      <c r="H73" s="3"/>
      <c r="I73" s="3"/>
      <c r="J73" s="3"/>
      <c r="K73" s="3"/>
      <c r="L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174"/>
      <c r="D74" s="174"/>
      <c r="E74" s="174"/>
      <c r="F74" s="174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174"/>
      <c r="D75" s="174"/>
      <c r="E75" s="174"/>
      <c r="F75" s="174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174"/>
      <c r="D76" s="174"/>
      <c r="E76" s="174"/>
      <c r="F76" s="174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dataValidations>
    <dataValidation type="list" allowBlank="1" showErrorMessage="1" sqref="K5">
      <formula1>"Ending Students,Net Revenue,EBITDA,Unlevered FCF"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8080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3.13"/>
    <col customWidth="1" min="2" max="2" width="24.63"/>
    <col customWidth="1" min="3" max="3" width="12.38"/>
    <col customWidth="1" min="4" max="4" width="5.5"/>
    <col customWidth="1" min="5" max="5" width="30.88"/>
    <col customWidth="1" min="6" max="6" width="22.75"/>
    <col customWidth="1" min="7" max="7" width="9.38"/>
    <col customWidth="1" min="8" max="8" width="6.88"/>
    <col customWidth="1" min="9" max="9" width="26.25"/>
    <col customWidth="1" min="10" max="10" width="15.88"/>
    <col customWidth="1" min="12" max="12" width="16.88"/>
    <col customWidth="1" min="13" max="13" width="14.13"/>
  </cols>
  <sheetData>
    <row r="1">
      <c r="A1" s="227" t="s">
        <v>494</v>
      </c>
      <c r="B1" s="228"/>
      <c r="C1" s="229"/>
      <c r="E1" s="227" t="s">
        <v>495</v>
      </c>
      <c r="F1" s="228"/>
      <c r="G1" s="227" t="s">
        <v>496</v>
      </c>
      <c r="L1" s="69"/>
      <c r="M1" s="69"/>
      <c r="N1" s="69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>
      <c r="A2" s="72" t="s">
        <v>497</v>
      </c>
      <c r="B2" s="79" t="s">
        <v>141</v>
      </c>
      <c r="C2" s="3"/>
      <c r="E2" s="185" t="s">
        <v>498</v>
      </c>
      <c r="F2" s="230">
        <v>10000.0</v>
      </c>
      <c r="G2" s="231">
        <f>F2-'3. Assumptions and Drivers'!$C$12</f>
        <v>2897.2745</v>
      </c>
      <c r="L2" s="3"/>
      <c r="M2" s="3"/>
    </row>
    <row r="3">
      <c r="A3" s="72" t="s">
        <v>499</v>
      </c>
      <c r="B3" s="90">
        <f t="array" ref="B3">XLOOKUP("*" &amp; B2 &amp; "*Salary*", '3. Assumptions and Drivers'!A:A, '3. Assumptions and Drivers'!C:C, 0, 2)</f>
        <v>85000</v>
      </c>
      <c r="C3" s="231"/>
      <c r="E3" s="79" t="s">
        <v>500</v>
      </c>
      <c r="F3" s="232">
        <f>'9. Multi-Year Projection'!$B$8*$F$2</f>
        <v>5137600</v>
      </c>
      <c r="G3" s="231">
        <f>F3-'9. Multi-Year Projection'!$B$20</f>
        <v>2138860.77</v>
      </c>
      <c r="L3" s="85"/>
      <c r="M3" s="85"/>
    </row>
    <row r="4">
      <c r="A4" s="72" t="s">
        <v>501</v>
      </c>
      <c r="B4" s="233">
        <f t="array" ref="B4">XLOOKUP("*" &amp; B2 &amp; "*Bonus*", '3. Assumptions and Drivers'!A:A, '3. Assumptions and Drivers'!C:C, 0, 2)</f>
        <v>0.2</v>
      </c>
      <c r="C4" s="231"/>
      <c r="E4" s="185" t="s">
        <v>502</v>
      </c>
      <c r="F4" s="234">
        <f>F3-'8. Financial Statements'!N16</f>
        <v>2560625.525</v>
      </c>
      <c r="G4" s="231">
        <f>F4-'9. Multi-Year Projection'!$B$39</f>
        <v>2137479.736</v>
      </c>
      <c r="L4" s="3"/>
      <c r="M4" s="3"/>
    </row>
    <row r="5">
      <c r="A5" s="72" t="s">
        <v>503</v>
      </c>
      <c r="B5" s="90">
        <f>B3+(B3*B4)</f>
        <v>102000</v>
      </c>
      <c r="C5" s="3"/>
      <c r="E5" s="235" t="s">
        <v>504</v>
      </c>
      <c r="G5" s="126"/>
      <c r="L5" s="3"/>
      <c r="M5" s="3"/>
    </row>
    <row r="6">
      <c r="A6" s="72" t="s">
        <v>505</v>
      </c>
      <c r="B6" s="236">
        <f>'5. Payroll and Headcount'!C47</f>
        <v>0.15</v>
      </c>
      <c r="C6" s="3"/>
      <c r="E6" s="235" t="s">
        <v>506</v>
      </c>
      <c r="I6" s="237"/>
      <c r="L6" s="3"/>
      <c r="M6" s="3"/>
    </row>
    <row r="7">
      <c r="A7" s="79" t="s">
        <v>507</v>
      </c>
      <c r="B7" s="238">
        <f>B5*(1+'5. Payroll and Headcount'!C47)</f>
        <v>117300</v>
      </c>
      <c r="C7" s="3"/>
      <c r="I7" s="237"/>
      <c r="L7" s="3"/>
      <c r="M7" s="3"/>
    </row>
    <row r="8">
      <c r="L8" s="3"/>
      <c r="M8" s="3"/>
    </row>
    <row r="9">
      <c r="A9" s="227" t="s">
        <v>508</v>
      </c>
      <c r="B9" s="228"/>
      <c r="E9" s="239" t="s">
        <v>509</v>
      </c>
      <c r="F9" s="228"/>
      <c r="G9" s="227" t="s">
        <v>496</v>
      </c>
      <c r="L9" s="3"/>
      <c r="M9" s="3"/>
    </row>
    <row r="10">
      <c r="A10" s="185" t="s">
        <v>510</v>
      </c>
      <c r="B10" s="240">
        <v>514.0</v>
      </c>
      <c r="E10" s="168" t="s">
        <v>511</v>
      </c>
      <c r="F10" s="241">
        <v>81.0</v>
      </c>
      <c r="G10" s="75">
        <f>F10-(('3. Assumptions and Drivers'!G39*9)+('3. Assumptions and Drivers'!G41*3))</f>
        <v>0</v>
      </c>
      <c r="L10" s="3"/>
      <c r="M10" s="3"/>
    </row>
    <row r="11">
      <c r="A11" s="185" t="s">
        <v>512</v>
      </c>
      <c r="B11" s="231">
        <f>B10*'9. Multi-Year Projection'!$B$17</f>
        <v>3650800.907</v>
      </c>
      <c r="E11" s="126" t="s">
        <v>513</v>
      </c>
      <c r="F11" s="242">
        <v>4.0</v>
      </c>
      <c r="G11" s="243">
        <f>F11-2</f>
        <v>2</v>
      </c>
      <c r="L11" s="3"/>
      <c r="M11" s="3"/>
    </row>
    <row r="12">
      <c r="A12" s="185" t="s">
        <v>514</v>
      </c>
      <c r="B12" s="234">
        <f>B11-'8. Financial Statements'!N16</f>
        <v>1073826.432</v>
      </c>
      <c r="E12" s="126" t="s">
        <v>515</v>
      </c>
      <c r="F12" s="244">
        <v>300.0</v>
      </c>
      <c r="G12" s="90">
        <f>F12-'3. Assumptions and Drivers'!C34</f>
        <v>100</v>
      </c>
      <c r="L12" s="3"/>
      <c r="M12" s="3"/>
    </row>
    <row r="13">
      <c r="A13" s="235" t="s">
        <v>516</v>
      </c>
      <c r="B13" s="3"/>
      <c r="E13" s="126" t="s">
        <v>517</v>
      </c>
      <c r="F13" s="245">
        <f>F11*F10*F12</f>
        <v>97200</v>
      </c>
      <c r="G13" s="90">
        <f>F13-(200*2*81)</f>
        <v>64800</v>
      </c>
      <c r="L13" s="3"/>
      <c r="M13" s="3"/>
    </row>
    <row r="14">
      <c r="A14" s="235" t="s">
        <v>504</v>
      </c>
      <c r="B14" s="3"/>
      <c r="E14" s="126" t="s">
        <v>518</v>
      </c>
      <c r="F14" s="245">
        <f>F11*F10*'9. Multi-Year Projection'!B17</f>
        <v>2301283.062</v>
      </c>
      <c r="G14" s="245">
        <f>G11*G10*'9. Multi-Year Projection'!C17</f>
        <v>0</v>
      </c>
      <c r="L14" s="3"/>
      <c r="M14" s="3"/>
    </row>
    <row r="15">
      <c r="B15" s="3"/>
      <c r="E15" s="126" t="s">
        <v>519</v>
      </c>
      <c r="F15" s="92">
        <f>F13/F14</f>
        <v>0.04223730735</v>
      </c>
      <c r="G15" s="93">
        <f>200/'9. Multi-Year Projection'!B17</f>
        <v>0.0281582049</v>
      </c>
      <c r="L15" s="3"/>
      <c r="M15" s="3"/>
    </row>
    <row r="16">
      <c r="E16" s="246" t="s">
        <v>520</v>
      </c>
      <c r="F16" s="3"/>
      <c r="L16" s="3"/>
      <c r="M16" s="3"/>
    </row>
    <row r="17">
      <c r="E17" s="235" t="s">
        <v>521</v>
      </c>
      <c r="F17" s="3"/>
      <c r="L17" s="3"/>
      <c r="M17" s="3"/>
    </row>
    <row r="18">
      <c r="F18" s="3"/>
      <c r="L18" s="3"/>
      <c r="M18" s="3"/>
    </row>
    <row r="19">
      <c r="L19" s="3"/>
      <c r="M19" s="3"/>
    </row>
    <row r="20">
      <c r="E20" s="227" t="s">
        <v>522</v>
      </c>
      <c r="F20" s="228"/>
      <c r="G20" s="227" t="s">
        <v>496</v>
      </c>
      <c r="L20" s="3"/>
      <c r="M20" s="3"/>
    </row>
    <row r="21" ht="15.75" customHeight="1">
      <c r="E21" s="123" t="s">
        <v>523</v>
      </c>
      <c r="F21" s="247">
        <v>4000000.0</v>
      </c>
      <c r="G21" s="248">
        <f>F21-'9. Multi-Year Projection'!B20</f>
        <v>1001260.77</v>
      </c>
      <c r="L21" s="3"/>
      <c r="M21" s="3"/>
    </row>
    <row r="22" ht="15.75" customHeight="1">
      <c r="E22" s="123" t="s">
        <v>524</v>
      </c>
      <c r="F22" s="249">
        <f>F21/'9. Multi-Year Projection'!B8</f>
        <v>7785.736531</v>
      </c>
      <c r="G22" s="248">
        <f>F22-'9. Multi-Year Projection'!B17</f>
        <v>683.0110307</v>
      </c>
      <c r="L22" s="3"/>
      <c r="M22" s="3"/>
    </row>
    <row r="23" ht="15.75" customHeight="1">
      <c r="E23" s="123" t="s">
        <v>525</v>
      </c>
      <c r="F23" s="248">
        <f>F21-'8. Financial Statements'!N16</f>
        <v>1423025.525</v>
      </c>
      <c r="G23" s="248">
        <f>F23-'9. Multi-Year Projection'!B39</f>
        <v>999879.7355</v>
      </c>
      <c r="L23" s="3"/>
      <c r="M23" s="3"/>
    </row>
    <row r="24" ht="15.75" customHeight="1">
      <c r="E24" s="235" t="s">
        <v>516</v>
      </c>
      <c r="L24" s="3"/>
      <c r="M24" s="3"/>
    </row>
    <row r="25" ht="15.75" customHeight="1">
      <c r="A25" s="3"/>
      <c r="B25" s="3"/>
      <c r="C25" s="3"/>
      <c r="E25" s="235" t="s">
        <v>506</v>
      </c>
      <c r="L25" s="3"/>
      <c r="M25" s="3"/>
    </row>
    <row r="26" ht="15.75" customHeight="1">
      <c r="A26" s="3"/>
      <c r="B26" s="3"/>
      <c r="C26" s="3"/>
      <c r="G26" s="3"/>
      <c r="L26" s="3"/>
      <c r="M26" s="3"/>
    </row>
    <row r="27" ht="15.75" customHeight="1">
      <c r="A27" s="3"/>
      <c r="B27" s="3"/>
      <c r="C27" s="3"/>
      <c r="G27" s="3"/>
      <c r="L27" s="3"/>
      <c r="M27" s="3"/>
    </row>
    <row r="28" ht="15.75" customHeight="1">
      <c r="A28" s="3"/>
      <c r="B28" s="3"/>
      <c r="C28" s="3"/>
      <c r="D28" s="3"/>
      <c r="E28" s="3"/>
      <c r="F28" s="3"/>
      <c r="G28" s="3"/>
      <c r="L28" s="3"/>
      <c r="M28" s="3"/>
    </row>
    <row r="29" ht="15.75" customHeight="1">
      <c r="H29" s="3"/>
      <c r="I29" s="3"/>
      <c r="J29" s="3"/>
      <c r="L29" s="3"/>
      <c r="M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L30" s="3"/>
      <c r="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L31" s="3"/>
      <c r="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L32" s="3"/>
      <c r="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L33" s="3"/>
      <c r="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L34" s="3"/>
      <c r="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L35" s="3"/>
      <c r="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L36" s="3"/>
      <c r="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L37" s="3"/>
      <c r="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L38" s="3"/>
      <c r="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L39" s="3"/>
      <c r="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L40" s="3"/>
      <c r="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L41" s="3"/>
      <c r="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L42" s="3"/>
      <c r="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L43" s="3"/>
      <c r="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L44" s="3"/>
      <c r="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L45" s="3"/>
      <c r="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L46" s="3"/>
      <c r="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L47" s="3"/>
      <c r="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L48" s="3"/>
      <c r="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L49" s="3"/>
      <c r="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L50" s="3"/>
      <c r="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L51" s="3"/>
      <c r="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L52" s="3"/>
      <c r="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L53" s="3"/>
      <c r="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L54" s="3"/>
      <c r="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L55" s="3"/>
      <c r="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L56" s="3"/>
      <c r="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L57" s="3"/>
      <c r="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L58" s="3"/>
      <c r="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L59" s="3"/>
      <c r="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L60" s="3"/>
      <c r="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L61" s="3"/>
      <c r="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L62" s="3"/>
      <c r="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L63" s="3"/>
      <c r="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L64" s="3"/>
      <c r="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L65" s="3"/>
      <c r="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L66" s="3"/>
      <c r="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L67" s="3"/>
      <c r="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L68" s="3"/>
      <c r="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L69" s="3"/>
      <c r="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L70" s="3"/>
      <c r="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L71" s="3"/>
      <c r="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L72" s="3"/>
      <c r="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L73" s="3"/>
      <c r="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L74" s="3"/>
      <c r="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L75" s="3"/>
      <c r="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L76" s="3"/>
      <c r="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L77" s="3"/>
      <c r="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L78" s="3"/>
      <c r="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L79" s="3"/>
      <c r="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L80" s="3"/>
      <c r="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L81" s="3"/>
      <c r="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L82" s="3"/>
      <c r="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L83" s="3"/>
      <c r="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L84" s="3"/>
      <c r="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L85" s="3"/>
      <c r="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L86" s="3"/>
      <c r="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L87" s="3"/>
      <c r="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L88" s="3"/>
      <c r="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L89" s="3"/>
      <c r="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L90" s="3"/>
      <c r="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L91" s="3"/>
      <c r="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L92" s="3"/>
      <c r="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L93" s="3"/>
      <c r="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L94" s="3"/>
      <c r="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L95" s="3"/>
      <c r="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L96" s="3"/>
      <c r="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L97" s="3"/>
      <c r="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L98" s="3"/>
      <c r="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L99" s="3"/>
      <c r="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L100" s="3"/>
      <c r="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L101" s="3"/>
      <c r="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L102" s="3"/>
      <c r="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L103" s="3"/>
      <c r="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L104" s="3"/>
      <c r="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L105" s="3"/>
      <c r="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L106" s="3"/>
      <c r="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L107" s="3"/>
      <c r="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L108" s="3"/>
      <c r="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L109" s="3"/>
      <c r="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L110" s="3"/>
      <c r="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L111" s="3"/>
      <c r="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L112" s="3"/>
      <c r="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L113" s="3"/>
      <c r="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L114" s="3"/>
      <c r="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L115" s="3"/>
      <c r="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L116" s="3"/>
      <c r="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L117" s="3"/>
      <c r="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L118" s="3"/>
      <c r="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L119" s="3"/>
      <c r="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L120" s="3"/>
      <c r="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L121" s="3"/>
      <c r="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L122" s="3"/>
      <c r="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L123" s="3"/>
      <c r="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L124" s="3"/>
      <c r="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L125" s="3"/>
      <c r="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L126" s="3"/>
      <c r="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L127" s="3"/>
      <c r="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L128" s="3"/>
      <c r="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L129" s="3"/>
      <c r="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L130" s="3"/>
      <c r="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L131" s="3"/>
      <c r="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L132" s="3"/>
      <c r="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L133" s="3"/>
      <c r="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L134" s="3"/>
      <c r="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L135" s="3"/>
      <c r="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L136" s="3"/>
      <c r="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L137" s="3"/>
      <c r="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L138" s="3"/>
      <c r="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L139" s="3"/>
      <c r="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L140" s="3"/>
      <c r="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L141" s="3"/>
      <c r="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L142" s="3"/>
      <c r="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L143" s="3"/>
      <c r="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L144" s="3"/>
      <c r="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L145" s="3"/>
      <c r="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L146" s="3"/>
      <c r="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L147" s="3"/>
      <c r="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L148" s="3"/>
      <c r="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L149" s="3"/>
      <c r="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L150" s="3"/>
      <c r="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L151" s="3"/>
      <c r="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L152" s="3"/>
      <c r="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L153" s="3"/>
      <c r="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L154" s="3"/>
      <c r="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L155" s="3"/>
      <c r="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L156" s="3"/>
      <c r="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L157" s="3"/>
      <c r="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L158" s="3"/>
      <c r="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L159" s="3"/>
      <c r="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L160" s="3"/>
      <c r="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L161" s="3"/>
      <c r="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L162" s="3"/>
      <c r="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L163" s="3"/>
      <c r="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L164" s="3"/>
      <c r="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L165" s="3"/>
      <c r="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L166" s="3"/>
      <c r="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L167" s="3"/>
      <c r="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L168" s="3"/>
      <c r="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L169" s="3"/>
      <c r="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L170" s="3"/>
      <c r="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L171" s="3"/>
      <c r="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L172" s="3"/>
      <c r="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L173" s="3"/>
      <c r="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L174" s="3"/>
      <c r="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L175" s="3"/>
      <c r="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L176" s="3"/>
      <c r="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L177" s="3"/>
      <c r="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L178" s="3"/>
      <c r="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L179" s="3"/>
      <c r="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L180" s="3"/>
      <c r="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L181" s="3"/>
      <c r="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L182" s="3"/>
      <c r="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L183" s="3"/>
      <c r="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L184" s="3"/>
      <c r="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L185" s="3"/>
      <c r="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L186" s="3"/>
      <c r="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L187" s="3"/>
      <c r="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L188" s="3"/>
      <c r="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L189" s="3"/>
      <c r="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L190" s="3"/>
      <c r="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L191" s="3"/>
      <c r="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L192" s="3"/>
      <c r="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L193" s="3"/>
      <c r="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L194" s="3"/>
      <c r="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L195" s="3"/>
      <c r="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L196" s="3"/>
      <c r="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L197" s="3"/>
      <c r="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L198" s="3"/>
      <c r="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L199" s="3"/>
      <c r="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L200" s="3"/>
      <c r="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L201" s="3"/>
      <c r="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L202" s="3"/>
      <c r="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L203" s="3"/>
      <c r="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L204" s="3"/>
      <c r="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L205" s="3"/>
      <c r="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L206" s="3"/>
      <c r="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L207" s="3"/>
      <c r="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L208" s="3"/>
      <c r="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L209" s="3"/>
      <c r="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L210" s="3"/>
      <c r="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L211" s="3"/>
      <c r="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L212" s="3"/>
      <c r="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L213" s="3"/>
      <c r="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L214" s="3"/>
      <c r="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L215" s="3"/>
      <c r="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L216" s="3"/>
      <c r="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L217" s="3"/>
      <c r="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L218" s="3"/>
      <c r="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L219" s="3"/>
      <c r="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L220" s="3"/>
      <c r="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L221" s="3"/>
      <c r="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L222" s="3"/>
      <c r="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L223" s="3"/>
      <c r="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L224" s="3"/>
      <c r="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L225" s="3"/>
      <c r="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L226" s="3"/>
      <c r="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L227" s="3"/>
      <c r="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L228" s="3"/>
      <c r="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L229" s="3"/>
      <c r="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L230" s="3"/>
      <c r="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L231" s="3"/>
      <c r="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L232" s="3"/>
      <c r="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L233" s="3"/>
      <c r="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L234" s="3"/>
      <c r="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L235" s="3"/>
      <c r="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L236" s="3"/>
      <c r="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L237" s="3"/>
      <c r="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L238" s="3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</row>
  </sheetData>
  <dataValidations>
    <dataValidation type="list" allowBlank="1" showErrorMessage="1" sqref="B2">
      <formula1>"Center Manager,Director,Assistant Center Manager,Senior Teacher,Teacher,Class Coordinator,Sales Representative,Learning Partner,Front Desk Associate,Maintenance/Custodial,Security"</formula1>
    </dataValidation>
  </dataValidations>
  <printOptions/>
  <pageMargins bottom="1.0" footer="0.0" header="0.0" left="0.75" right="0.75" top="1.0"/>
  <pageSetup orientation="landscape"/>
  <drawing r:id="rId1"/>
</worksheet>
</file>